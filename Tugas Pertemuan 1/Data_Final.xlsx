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ya\Documents\MATKUL\Praktikum\Anreg\"/>
    </mc:Choice>
  </mc:AlternateContent>
  <xr:revisionPtr revIDLastSave="0" documentId="8_{BA8FF66D-1801-41A4-A082-535DF29DB796}" xr6:coauthVersionLast="47" xr6:coauthVersionMax="47" xr10:uidLastSave="{00000000-0000-0000-0000-000000000000}"/>
  <bookViews>
    <workbookView xWindow="-108" yWindow="-108" windowWidth="23256" windowHeight="12456" xr2:uid="{464A0925-F2E0-4F6D-AA5C-1BB981B4BD3C}"/>
  </bookViews>
  <sheets>
    <sheet name="Data Final" sheetId="1" r:id="rId1"/>
    <sheet name="Persentase Internet" sheetId="8" r:id="rId2"/>
    <sheet name="PDRB" sheetId="2" r:id="rId3"/>
    <sheet name="Persentase Penduduk Miskin" sheetId="3" r:id="rId4"/>
    <sheet name="Persentase Penduduk Perkotaan" sheetId="4" r:id="rId5"/>
    <sheet name="RLS" sheetId="5" r:id="rId6"/>
    <sheet name="Kepadatan Penduduk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</calcChain>
</file>

<file path=xl/sharedStrings.xml><?xml version="1.0" encoding="utf-8"?>
<sst xmlns="http://schemas.openxmlformats.org/spreadsheetml/2006/main" count="276" uniqueCount="53">
  <si>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</si>
  <si>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</si>
  <si>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</si>
  <si>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</si>
  <si>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</si>
  <si>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</si>
  <si>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</si>
  <si>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</si>
  <si>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</si>
  <si>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</si>
  <si>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</si>
  <si>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</si>
  <si>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</si>
  <si>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</si>
  <si>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</si>
  <si>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</si>
  <si>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</si>
  <si>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</si>
  <si>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</si>
  <si>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</si>
  <si>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</si>
  <si>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</si>
  <si>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</si>
  <si>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</si>
  <si>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</si>
  <si>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</si>
  <si>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</si>
  <si>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</si>
  <si>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</si>
  <si>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</si>
  <si>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</si>
  <si>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</si>
  <si>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</si>
  <si>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</si>
  <si>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</si>
  <si>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</si>
  <si>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</si>
  <si>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</si>
  <si>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</si>
  <si>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</si>
  <si>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Persentase_Internet</t>
  </si>
  <si>
    <t>DKI Jakarta</t>
  </si>
  <si>
    <t>DI Yogyakarta</t>
  </si>
  <si>
    <t>PDRB</t>
  </si>
  <si>
    <t>Persentase_kemiskinan</t>
  </si>
  <si>
    <t>RLS(Tahun)</t>
  </si>
  <si>
    <t>Kepadatan_Penduduk</t>
  </si>
  <si>
    <t>Persentase Internet</t>
  </si>
  <si>
    <t>Persentase Penduduk Miskin</t>
  </si>
  <si>
    <t>Persentase Penduduk Perkotaan</t>
  </si>
  <si>
    <t>RLS</t>
  </si>
  <si>
    <t>Kepadatan Penduduk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</si>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</sst>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34"/>
    <xf numFmtId="0" fontId="16" fillId="0" borderId="0" xfId="34"/>
    <xf numFmtId="0" fontId="0" fillId="0" borderId="0" xfId="0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5" xr:uid="{108640AD-FB92-496A-AA98-FE927BA3D193}"/>
    <cellStyle name="60% - Accent2 2" xfId="36" xr:uid="{5297E432-F169-4F71-9FE8-73F488230391}"/>
    <cellStyle name="60% - Accent3 2" xfId="37" xr:uid="{D7993124-73FA-4FE8-B393-4F96B9BD4162}"/>
    <cellStyle name="60% - Accent4 2" xfId="38" xr:uid="{88540003-2944-484F-98FC-348D7CBE67F6}"/>
    <cellStyle name="60% - Accent5 2" xfId="39" xr:uid="{A827808F-4125-40A8-B9E8-392124F095DC}"/>
    <cellStyle name="60% - Accent6 2" xfId="40" xr:uid="{F3AA4DFC-A6EB-4EF8-8FCC-B1FE8FCC423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1" xr:uid="{E2B9A812-CD8C-4A94-A882-348104B5FBC5}"/>
    <cellStyle name="Normal" xfId="0" builtinId="0"/>
    <cellStyle name="Normal 2" xfId="34" xr:uid="{022C7C8A-3CA9-4FF4-BF6A-FDBD1AB679DC}"/>
    <cellStyle name="Note" xfId="13" builtinId="10" customBuiltin="1"/>
    <cellStyle name="Output" xfId="8" builtinId="21" customBuiltin="1"/>
    <cellStyle name="Title 2" xfId="42" xr:uid="{194D3C90-7B96-4181-B5A8-B5B9C6C4F31E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CDA3-42BB-41E9-ABE0-252783F2BD0A}">
  <dimension ref="A1:G39"/>
  <sheetViews>
    <sheetView tabSelected="1" zoomScale="56" workbookViewId="0">
      <selection activeCell="K26" sqref="K26"/>
    </sheetView>
  </sheetViews>
  <sheetFormatPr defaultRowHeight="14.4" x14ac:dyDescent="0.3"/>
  <cols>
    <col min="1" max="1" width="18" bestFit="1" customWidth="1"/>
    <col min="2" max="2" width="16.77734375" bestFit="1" customWidth="1"/>
    <col min="4" max="4" width="24.21875" bestFit="1" customWidth="1"/>
    <col min="5" max="5" width="27.44140625" bestFit="1" customWidth="1"/>
    <col min="6" max="6" width="5.109375" bestFit="1" customWidth="1"/>
    <col min="7" max="7" width="18.109375" bestFit="1" customWidth="1"/>
  </cols>
  <sheetData>
    <row r="1" spans="1:7" x14ac:dyDescent="0.3">
      <c r="A1" t="s">
        <v>0</v>
      </c>
      <c r="B1" t="s">
        <v>47</v>
      </c>
      <c r="C1" t="s">
        <v>43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3">
      <c r="A2" t="s">
        <v>1</v>
      </c>
      <c r="B2">
        <f>VLOOKUP(A2, 'Persentase Internet'!A2:B2, 2, FALSE)</f>
        <v>88.95</v>
      </c>
      <c r="C2">
        <f>VLOOKUP(A2, PDRB!A2:B2, 2, FALSE)</f>
        <v>43782</v>
      </c>
      <c r="D2">
        <f>VLOOKUP(A2, 'Persentase Penduduk Miskin'!A2:B2, 2, FALSE)</f>
        <v>12.64</v>
      </c>
      <c r="E2">
        <f>VLOOKUP(A2, 'Persentase Penduduk Perkotaan'!A2:B2, 2, FALSE)</f>
        <v>36.200000000000003</v>
      </c>
      <c r="F2" s="3">
        <f>VLOOKUP(A2, RLS!A2:B2, 2, FALSE)</f>
        <v>9.64</v>
      </c>
      <c r="G2" s="3">
        <f>VLOOKUP(A2, 'Kepadatan Penduduk'!A2:B2, 2, FALSE)</f>
        <v>98</v>
      </c>
    </row>
    <row r="3" spans="1:7" x14ac:dyDescent="0.3">
      <c r="A3" t="s">
        <v>2</v>
      </c>
      <c r="B3" s="3">
        <f>VLOOKUP(A3, 'Persentase Internet'!A3:B3, 2, FALSE)</f>
        <v>92.3</v>
      </c>
      <c r="C3" s="3">
        <f>VLOOKUP(A3, PDRB!A3:B3, 2, FALSE)</f>
        <v>73575</v>
      </c>
      <c r="D3" s="3">
        <f>VLOOKUP(A3, 'Persentase Penduduk Miskin'!A3:B3, 2, FALSE)</f>
        <v>7.19</v>
      </c>
      <c r="E3" s="3">
        <f>VLOOKUP(A3, 'Persentase Penduduk Perkotaan'!A3:B3, 2, FALSE)</f>
        <v>60.1</v>
      </c>
      <c r="F3" s="3">
        <f>VLOOKUP(A3, RLS!A3:B3, 2, FALSE)</f>
        <v>9.93</v>
      </c>
      <c r="G3" s="3">
        <f>VLOOKUP(A3, 'Kepadatan Penduduk'!A3:B3, 2, FALSE)</f>
        <v>215</v>
      </c>
    </row>
    <row r="4" spans="1:7" x14ac:dyDescent="0.3">
      <c r="A4" t="s">
        <v>3</v>
      </c>
      <c r="B4" s="3">
        <f>VLOOKUP(A4, 'Persentase Internet'!A4:B4, 2, FALSE)</f>
        <v>91.89</v>
      </c>
      <c r="C4" s="3">
        <f>VLOOKUP(A4, PDRB!A4:B4, 2, FALSE)</f>
        <v>57047</v>
      </c>
      <c r="D4" s="3">
        <f>VLOOKUP(A4, 'Persentase Penduduk Miskin'!A4:B4, 2, FALSE)</f>
        <v>5.42</v>
      </c>
      <c r="E4" s="3">
        <f>VLOOKUP(A4, 'Persentase Penduduk Perkotaan'!A4:B4, 2, FALSE)</f>
        <v>54.6</v>
      </c>
      <c r="F4" s="3">
        <f>VLOOKUP(A4, RLS!A4:B4, 2, FALSE)</f>
        <v>9.44</v>
      </c>
      <c r="G4" s="3">
        <f>VLOOKUP(A4, 'Kepadatan Penduduk'!A4:B4, 2, FALSE)</f>
        <v>139</v>
      </c>
    </row>
    <row r="5" spans="1:7" x14ac:dyDescent="0.3">
      <c r="A5" t="s">
        <v>4</v>
      </c>
      <c r="B5" s="3">
        <f>VLOOKUP(A5, 'Persentase Internet'!A5:B5, 2, FALSE)</f>
        <v>94.16</v>
      </c>
      <c r="C5" s="3">
        <f>VLOOKUP(A5, PDRB!A5:B5, 2, FALSE)</f>
        <v>165350</v>
      </c>
      <c r="D5" s="3">
        <f>VLOOKUP(A5, 'Persentase Penduduk Miskin'!A5:B5, 2, FALSE)</f>
        <v>6.36</v>
      </c>
      <c r="E5" s="3">
        <f>VLOOKUP(A5, 'Persentase Penduduk Perkotaan'!A5:B5, 2, FALSE)</f>
        <v>40.700000000000003</v>
      </c>
      <c r="F5" s="3">
        <f>VLOOKUP(A5, RLS!A5:B5, 2, FALSE)</f>
        <v>9.43</v>
      </c>
      <c r="G5" s="3">
        <f>VLOOKUP(A5, 'Kepadatan Penduduk'!A5:B5, 2, FALSE)</f>
        <v>75</v>
      </c>
    </row>
    <row r="6" spans="1:7" x14ac:dyDescent="0.3">
      <c r="A6" t="s">
        <v>5</v>
      </c>
      <c r="B6" s="3">
        <f>VLOOKUP(A6, 'Persentase Internet'!A6:B6, 2, FALSE)</f>
        <v>90.59</v>
      </c>
      <c r="C6" s="3">
        <f>VLOOKUP(A6, PDRB!A6:B6, 2, FALSE)</f>
        <v>86722</v>
      </c>
      <c r="D6" s="3">
        <f>VLOOKUP(A6, 'Persentase Penduduk Miskin'!A6:B6, 2, FALSE)</f>
        <v>7.26</v>
      </c>
      <c r="E6" s="3">
        <f>VLOOKUP(A6, 'Persentase Penduduk Perkotaan'!A6:B6, 2, FALSE)</f>
        <v>34.799999999999997</v>
      </c>
      <c r="F6" s="3">
        <f>VLOOKUP(A6, RLS!A6:B6, 2, FALSE)</f>
        <v>8.9</v>
      </c>
      <c r="G6" s="3">
        <f>VLOOKUP(A6, 'Kepadatan Penduduk'!A6:B6, 2, FALSE)</f>
        <v>76</v>
      </c>
    </row>
    <row r="7" spans="1:7" x14ac:dyDescent="0.3">
      <c r="A7" t="s">
        <v>6</v>
      </c>
      <c r="B7" s="3">
        <f>VLOOKUP(A7, 'Persentase Internet'!A7:B7, 2, FALSE)</f>
        <v>90.94</v>
      </c>
      <c r="C7" s="3">
        <f>VLOOKUP(A7, PDRB!A7:B7, 2, FALSE)</f>
        <v>75132</v>
      </c>
      <c r="D7" s="3">
        <f>VLOOKUP(A7, 'Persentase Penduduk Miskin'!A7:B7, 2, FALSE)</f>
        <v>10.51</v>
      </c>
      <c r="E7" s="3">
        <f>VLOOKUP(A7, 'Persentase Penduduk Perkotaan'!A7:B7, 2, FALSE)</f>
        <v>38.200000000000003</v>
      </c>
      <c r="F7" s="3">
        <f>VLOOKUP(A7, RLS!A7:B7, 2, FALSE)</f>
        <v>8.57</v>
      </c>
      <c r="G7" s="3">
        <f>VLOOKUP(A7, 'Kepadatan Penduduk'!A7:B7, 2, FALSE)</f>
        <v>102</v>
      </c>
    </row>
    <row r="8" spans="1:7" x14ac:dyDescent="0.3">
      <c r="A8" t="s">
        <v>7</v>
      </c>
      <c r="B8" s="3">
        <f>VLOOKUP(A8, 'Persentase Internet'!A8:B8, 2, FALSE)</f>
        <v>90.62</v>
      </c>
      <c r="C8" s="3">
        <f>VLOOKUP(A8, PDRB!A8:B8, 2, FALSE)</f>
        <v>49233</v>
      </c>
      <c r="D8" s="3">
        <f>VLOOKUP(A8, 'Persentase Penduduk Miskin'!A8:B8, 2, FALSE)</f>
        <v>12.52</v>
      </c>
      <c r="E8" s="3">
        <f>VLOOKUP(A8, 'Persentase Penduduk Perkotaan'!A8:B8, 2, FALSE)</f>
        <v>33.5</v>
      </c>
      <c r="F8" s="3">
        <f>VLOOKUP(A8, RLS!A8:B8, 2, FALSE)</f>
        <v>9.0399999999999991</v>
      </c>
      <c r="G8" s="3">
        <f>VLOOKUP(A8, 'Kepadatan Penduduk'!A8:B8, 2, FALSE)</f>
        <v>105</v>
      </c>
    </row>
    <row r="9" spans="1:7" x14ac:dyDescent="0.3">
      <c r="A9" t="s">
        <v>8</v>
      </c>
      <c r="B9" s="3">
        <f>VLOOKUP(A9, 'Persentase Internet'!A9:B9, 2, FALSE)</f>
        <v>91.57</v>
      </c>
      <c r="C9" s="3">
        <f>VLOOKUP(A9, PDRB!A9:B9, 2, FALSE)</f>
        <v>51370</v>
      </c>
      <c r="D9" s="3">
        <f>VLOOKUP(A9, 'Persentase Penduduk Miskin'!A9:B9, 2, FALSE)</f>
        <v>10.62</v>
      </c>
      <c r="E9" s="3">
        <f>VLOOKUP(A9, 'Persentase Penduduk Perkotaan'!A9:B9, 2, FALSE)</f>
        <v>34.6</v>
      </c>
      <c r="F9" s="3">
        <f>VLOOKUP(A9, RLS!A9:B9, 2, FALSE)</f>
        <v>8.36</v>
      </c>
      <c r="G9" s="3">
        <f>VLOOKUP(A9, 'Kepadatan Penduduk'!A9:B9, 2, FALSE)</f>
        <v>281</v>
      </c>
    </row>
    <row r="10" spans="1:7" x14ac:dyDescent="0.3">
      <c r="A10" t="s">
        <v>9</v>
      </c>
      <c r="B10" s="3">
        <f>VLOOKUP(A10, 'Persentase Internet'!A10:B10, 2, FALSE)</f>
        <v>92.14</v>
      </c>
      <c r="C10" s="3">
        <f>VLOOKUP(A10, PDRB!A10:B10, 2, FALSE)</f>
        <v>70194</v>
      </c>
      <c r="D10" s="3">
        <f>VLOOKUP(A10, 'Persentase Penduduk Miskin'!A10:B10, 2, FALSE)</f>
        <v>5.08</v>
      </c>
      <c r="E10" s="3">
        <f>VLOOKUP(A10, 'Persentase Penduduk Perkotaan'!A10:B10, 2, FALSE)</f>
        <v>59.7</v>
      </c>
      <c r="F10" s="3">
        <f>VLOOKUP(A10, RLS!A10:B10, 2, FALSE)</f>
        <v>8.33</v>
      </c>
      <c r="G10" s="3">
        <f>VLOOKUP(A10, 'Kepadatan Penduduk'!A10:B10, 2, FALSE)</f>
        <v>92</v>
      </c>
    </row>
    <row r="11" spans="1:7" x14ac:dyDescent="0.3">
      <c r="A11" t="s">
        <v>10</v>
      </c>
      <c r="B11" s="3">
        <f>VLOOKUP(A11, 'Persentase Internet'!A11:B11, 2, FALSE)</f>
        <v>97.57</v>
      </c>
      <c r="C11" s="3">
        <f>VLOOKUP(A11, PDRB!A11:B11, 2, FALSE)</f>
        <v>161424</v>
      </c>
      <c r="D11" s="3">
        <f>VLOOKUP(A11, 'Persentase Penduduk Miskin'!A11:B11, 2, FALSE)</f>
        <v>4.78</v>
      </c>
      <c r="E11" s="3">
        <f>VLOOKUP(A11, 'Persentase Penduduk Perkotaan'!A11:B11, 2, FALSE)</f>
        <v>83.8</v>
      </c>
      <c r="F11" s="3">
        <f>VLOOKUP(A11, RLS!A11:B11, 2, FALSE)</f>
        <v>10.5</v>
      </c>
      <c r="G11" s="3">
        <f>VLOOKUP(A11, 'Kepadatan Penduduk'!A11:B11, 2, FALSE)</f>
        <v>264</v>
      </c>
    </row>
    <row r="12" spans="1:7" x14ac:dyDescent="0.3">
      <c r="A12" t="s">
        <v>11</v>
      </c>
      <c r="B12" s="3">
        <f>VLOOKUP(A12, 'Persentase Internet'!A12:B12, 2, FALSE)</f>
        <v>98.18</v>
      </c>
      <c r="C12" s="3">
        <f>VLOOKUP(A12, PDRB!A12:B12, 2, FALSE)</f>
        <v>344350</v>
      </c>
      <c r="D12" s="3">
        <f>VLOOKUP(A12, 'Persentase Penduduk Miskin'!A12:B12, 2, FALSE)</f>
        <v>4.1399999999999997</v>
      </c>
      <c r="E12" s="3">
        <f>VLOOKUP(A12, 'Persentase Penduduk Perkotaan'!A12:B12, 2, FALSE)</f>
        <v>100</v>
      </c>
      <c r="F12" s="3">
        <f>VLOOKUP(A12, RLS!A12:B12, 2, FALSE)</f>
        <v>11.49</v>
      </c>
      <c r="G12" s="3">
        <f>VLOOKUP(A12, 'Kepadatan Penduduk'!A12:B12, 2, FALSE)</f>
        <v>16165</v>
      </c>
    </row>
    <row r="13" spans="1:7" x14ac:dyDescent="0.3">
      <c r="A13" t="s">
        <v>12</v>
      </c>
      <c r="B13" s="3">
        <f>VLOOKUP(A13, 'Persentase Internet'!A13:B13, 2, FALSE)</f>
        <v>90.58</v>
      </c>
      <c r="C13" s="3">
        <f>VLOOKUP(A13, PDRB!A13:B13, 2, FALSE)</f>
        <v>56080</v>
      </c>
      <c r="D13" s="3">
        <f>VLOOKUP(A13, 'Persentase Penduduk Miskin'!A13:B13, 2, FALSE)</f>
        <v>7.08</v>
      </c>
      <c r="E13" s="3">
        <f>VLOOKUP(A13, 'Persentase Penduduk Perkotaan'!A13:B13, 2, FALSE)</f>
        <v>83.1</v>
      </c>
      <c r="F13" s="3">
        <f>VLOOKUP(A13, RLS!A13:B13, 2, FALSE)</f>
        <v>8.8699999999999992</v>
      </c>
      <c r="G13" s="3">
        <f>VLOOKUP(A13, 'Kepadatan Penduduk'!A13:B13, 2, FALSE)</f>
        <v>1359</v>
      </c>
    </row>
    <row r="14" spans="1:7" x14ac:dyDescent="0.3">
      <c r="A14" t="s">
        <v>13</v>
      </c>
      <c r="B14" s="3">
        <f>VLOOKUP(A14, 'Persentase Internet'!A14:B14, 2, FALSE)</f>
        <v>88.89</v>
      </c>
      <c r="C14" s="3">
        <f>VLOOKUP(A14, PDRB!A14:B14, 2, FALSE)</f>
        <v>47972</v>
      </c>
      <c r="D14" s="3">
        <f>VLOOKUP(A14, 'Persentase Penduduk Miskin'!A14:B14, 2, FALSE)</f>
        <v>9.58</v>
      </c>
      <c r="E14" s="3">
        <f>VLOOKUP(A14, 'Persentase Penduduk Perkotaan'!A14:B14, 2, FALSE)</f>
        <v>54.3</v>
      </c>
      <c r="F14" s="3">
        <f>VLOOKUP(A14, RLS!A14:B14, 2, FALSE)</f>
        <v>8.02</v>
      </c>
      <c r="G14" s="3">
        <f>VLOOKUP(A14, 'Kepadatan Penduduk'!A14:B14, 2, FALSE)</f>
        <v>1104</v>
      </c>
    </row>
    <row r="15" spans="1:7" x14ac:dyDescent="0.3">
      <c r="A15" t="s">
        <v>14</v>
      </c>
      <c r="B15" s="3">
        <f>VLOOKUP(A15, 'Persentase Internet'!A15:B15, 2, FALSE)</f>
        <v>89.5</v>
      </c>
      <c r="C15" s="3">
        <f>VLOOKUP(A15, PDRB!A15:B15, 2, FALSE)</f>
        <v>51473</v>
      </c>
      <c r="D15" s="3">
        <f>VLOOKUP(A15, 'Persentase Penduduk Miskin'!A15:B15, 2, FALSE)</f>
        <v>10.4</v>
      </c>
      <c r="E15" s="3">
        <f>VLOOKUP(A15, 'Persentase Penduduk Perkotaan'!A15:B15, 2, FALSE)</f>
        <v>78</v>
      </c>
      <c r="F15" s="3">
        <f>VLOOKUP(A15, RLS!A15:B15, 2, FALSE)</f>
        <v>9.92</v>
      </c>
      <c r="G15" s="3">
        <f>VLOOKUP(A15, 'Kepadatan Penduduk'!A15:B15, 2, FALSE)</f>
        <v>1186</v>
      </c>
    </row>
    <row r="16" spans="1:7" x14ac:dyDescent="0.3">
      <c r="A16" t="s">
        <v>15</v>
      </c>
      <c r="B16" s="3">
        <f>VLOOKUP(A16, 'Persentase Internet'!A16:B16, 2, FALSE)</f>
        <v>86.9</v>
      </c>
      <c r="C16" s="3">
        <f>VLOOKUP(A16, PDRB!A16:B16, 2, FALSE)</f>
        <v>75770</v>
      </c>
      <c r="D16" s="3">
        <f>VLOOKUP(A16, 'Persentase Penduduk Miskin'!A16:B16, 2, FALSE)</f>
        <v>9.56</v>
      </c>
      <c r="E16" s="3">
        <f>VLOOKUP(A16, 'Persentase Penduduk Perkotaan'!A16:B16, 2, FALSE)</f>
        <v>58.6</v>
      </c>
      <c r="F16" s="3">
        <f>VLOOKUP(A16, RLS!A16:B16, 2, FALSE)</f>
        <v>8.2799999999999994</v>
      </c>
      <c r="G16" s="3">
        <f>VLOOKUP(A16, 'Kepadatan Penduduk'!A16:B16, 2, FALSE)</f>
        <v>870</v>
      </c>
    </row>
    <row r="17" spans="1:7" x14ac:dyDescent="0.3">
      <c r="A17" t="s">
        <v>16</v>
      </c>
      <c r="B17" s="3">
        <f>VLOOKUP(A17, 'Persentase Internet'!A17:B17, 2, FALSE)</f>
        <v>93.02</v>
      </c>
      <c r="C17" s="3">
        <f>VLOOKUP(A17, PDRB!A17:B17, 2, FALSE)</f>
        <v>70276</v>
      </c>
      <c r="D17" s="3">
        <f>VLOOKUP(A17, 'Persentase Penduduk Miskin'!A17:B17, 2, FALSE)</f>
        <v>5.7</v>
      </c>
      <c r="E17" s="3">
        <f>VLOOKUP(A17, 'Persentase Penduduk Perkotaan'!A17:B17, 2, FALSE)</f>
        <v>73.7</v>
      </c>
      <c r="F17" s="3">
        <f>VLOOKUP(A17, RLS!A17:B17, 2, FALSE)</f>
        <v>9.23</v>
      </c>
      <c r="G17" s="3">
        <f>VLOOKUP(A17, 'Kepadatan Penduduk'!A17:B17, 2, FALSE)</f>
        <v>1329</v>
      </c>
    </row>
    <row r="18" spans="1:7" x14ac:dyDescent="0.3">
      <c r="A18" t="s">
        <v>17</v>
      </c>
      <c r="B18" s="3">
        <f>VLOOKUP(A18, 'Persentase Internet'!A18:B18, 2, FALSE)</f>
        <v>92.16</v>
      </c>
      <c r="C18" s="3">
        <f>VLOOKUP(A18, PDRB!A18:B18, 2, FALSE)</f>
        <v>67319</v>
      </c>
      <c r="D18" s="3">
        <f>VLOOKUP(A18, 'Persentase Penduduk Miskin'!A18:B18, 2, FALSE)</f>
        <v>3.8</v>
      </c>
      <c r="E18" s="3">
        <f>VLOOKUP(A18, 'Persentase Penduduk Perkotaan'!A18:B18, 2, FALSE)</f>
        <v>74.3</v>
      </c>
      <c r="F18" s="3">
        <f>VLOOKUP(A18, RLS!A18:B18, 2, FALSE)</f>
        <v>9.5399999999999991</v>
      </c>
      <c r="G18" s="3">
        <f>VLOOKUP(A18, 'Kepadatan Penduduk'!A18:B18, 2, FALSE)</f>
        <v>793</v>
      </c>
    </row>
    <row r="19" spans="1:7" x14ac:dyDescent="0.3">
      <c r="A19" t="s">
        <v>18</v>
      </c>
      <c r="B19" s="3">
        <f>VLOOKUP(A19, 'Persentase Internet'!A19:B19, 2, FALSE)</f>
        <v>86.54</v>
      </c>
      <c r="C19" s="3">
        <f>VLOOKUP(A19, PDRB!A19:B19, 2, FALSE)</f>
        <v>32282</v>
      </c>
      <c r="D19" s="3">
        <f>VLOOKUP(A19, 'Persentase Penduduk Miskin'!A19:B19, 2, FALSE)</f>
        <v>11.91</v>
      </c>
      <c r="E19" s="3">
        <f>VLOOKUP(A19, 'Persentase Penduduk Perkotaan'!A19:B19, 2, FALSE)</f>
        <v>53.6</v>
      </c>
      <c r="F19" s="3">
        <f>VLOOKUP(A19, RLS!A19:B19, 2, FALSE)</f>
        <v>7.87</v>
      </c>
      <c r="G19" s="3">
        <f>VLOOKUP(A19, 'Kepadatan Penduduk'!A19:B19, 2, FALSE)</f>
        <v>287</v>
      </c>
    </row>
    <row r="20" spans="1:7" x14ac:dyDescent="0.3">
      <c r="A20" t="s">
        <v>19</v>
      </c>
      <c r="B20" s="3">
        <f>VLOOKUP(A20, 'Persentase Internet'!A20:B20, 2, FALSE)</f>
        <v>82.45</v>
      </c>
      <c r="C20" s="3">
        <f>VLOOKUP(A20, PDRB!A20:B20, 2, FALSE)</f>
        <v>24272</v>
      </c>
      <c r="D20" s="3">
        <f>VLOOKUP(A20, 'Persentase Penduduk Miskin'!A20:B20, 2, FALSE)</f>
        <v>19.02</v>
      </c>
      <c r="E20" s="3">
        <f>VLOOKUP(A20, 'Persentase Penduduk Perkotaan'!A20:B20, 2, FALSE)</f>
        <v>27.3</v>
      </c>
      <c r="F20" s="3">
        <f>VLOOKUP(A20, RLS!A20:B20, 2, FALSE)</f>
        <v>8.02</v>
      </c>
      <c r="G20" s="3">
        <f>VLOOKUP(A20, 'Kepadatan Penduduk'!A20:B20, 2, FALSE)</f>
        <v>122</v>
      </c>
    </row>
    <row r="21" spans="1:7" x14ac:dyDescent="0.3">
      <c r="A21" t="s">
        <v>20</v>
      </c>
      <c r="B21" s="3">
        <f>VLOOKUP(A21, 'Persentase Internet'!A21:B21, 2, FALSE)</f>
        <v>92.65</v>
      </c>
      <c r="C21" s="3">
        <f>VLOOKUP(A21, PDRB!A21:B21, 2, FALSE)</f>
        <v>52703</v>
      </c>
      <c r="D21" s="3">
        <f>VLOOKUP(A21, 'Persentase Penduduk Miskin'!A21:B21, 2, FALSE)</f>
        <v>6.25</v>
      </c>
      <c r="E21" s="3">
        <f>VLOOKUP(A21, 'Persentase Penduduk Perkotaan'!A21:B21, 2, FALSE)</f>
        <v>39.799999999999997</v>
      </c>
      <c r="F21" s="3">
        <f>VLOOKUP(A21, RLS!A21:B21, 2, FALSE)</f>
        <v>7.78</v>
      </c>
      <c r="G21" s="3">
        <f>VLOOKUP(A21, 'Kepadatan Penduduk'!A21:B21, 2, FALSE)</f>
        <v>39</v>
      </c>
    </row>
    <row r="22" spans="1:7" x14ac:dyDescent="0.3">
      <c r="A22" t="s">
        <v>21</v>
      </c>
      <c r="B22" s="3">
        <f>VLOOKUP(A22, 'Persentase Internet'!A22:B22, 2, FALSE)</f>
        <v>92.13</v>
      </c>
      <c r="C22" s="3">
        <f>VLOOKUP(A22, PDRB!A22:B22, 2, FALSE)</f>
        <v>79320</v>
      </c>
      <c r="D22" s="3">
        <f>VLOOKUP(A22, 'Persentase Penduduk Miskin'!A22:B22, 2, FALSE)</f>
        <v>5.26</v>
      </c>
      <c r="E22" s="3">
        <f>VLOOKUP(A22, 'Persentase Penduduk Perkotaan'!A22:B22, 2, FALSE)</f>
        <v>44.1</v>
      </c>
      <c r="F22" s="3">
        <f>VLOOKUP(A22, RLS!A22:B22, 2, FALSE)</f>
        <v>8.81</v>
      </c>
      <c r="G22" s="3">
        <f>VLOOKUP(A22, 'Kepadatan Penduduk'!A22:B22, 2, FALSE)</f>
        <v>18</v>
      </c>
    </row>
    <row r="23" spans="1:7" x14ac:dyDescent="0.3">
      <c r="A23" t="s">
        <v>22</v>
      </c>
      <c r="B23" s="3">
        <f>VLOOKUP(A23, 'Persentase Internet'!A23:B23, 2, FALSE)</f>
        <v>89.22</v>
      </c>
      <c r="C23" s="3">
        <f>VLOOKUP(A23, PDRB!A23:B23, 2, FALSE)</f>
        <v>67117</v>
      </c>
      <c r="D23" s="3">
        <f>VLOOKUP(A23, 'Persentase Penduduk Miskin'!A23:B23, 2, FALSE)</f>
        <v>4.0199999999999996</v>
      </c>
      <c r="E23" s="3">
        <f>VLOOKUP(A23, 'Persentase Penduduk Perkotaan'!A23:B23, 2, FALSE)</f>
        <v>52</v>
      </c>
      <c r="F23" s="3">
        <f>VLOOKUP(A23, RLS!A23:B23, 2, FALSE)</f>
        <v>8.6199999999999992</v>
      </c>
      <c r="G23" s="3">
        <f>VLOOKUP(A23, 'Kepadatan Penduduk'!A23:B23, 2, FALSE)</f>
        <v>115</v>
      </c>
    </row>
    <row r="24" spans="1:7" x14ac:dyDescent="0.3">
      <c r="A24" t="s">
        <v>23</v>
      </c>
      <c r="B24" s="3">
        <f>VLOOKUP(A24, 'Persentase Internet'!A24:B24, 2, FALSE)</f>
        <v>95.45</v>
      </c>
      <c r="C24" s="3">
        <f>VLOOKUP(A24, PDRB!A24:B24, 2, FALSE)</f>
        <v>212175</v>
      </c>
      <c r="D24" s="3">
        <f>VLOOKUP(A24, 'Persentase Penduduk Miskin'!A24:B24, 2, FALSE)</f>
        <v>5.51</v>
      </c>
      <c r="E24" s="3">
        <f>VLOOKUP(A24, 'Persentase Penduduk Perkotaan'!A24:B24, 2, FALSE)</f>
        <v>71.8</v>
      </c>
      <c r="F24" s="3">
        <f>VLOOKUP(A24, RLS!A24:B24, 2, FALSE)</f>
        <v>10.02</v>
      </c>
      <c r="G24" s="3">
        <f>VLOOKUP(A24, 'Kepadatan Penduduk'!A24:B24, 2, FALSE)</f>
        <v>32</v>
      </c>
    </row>
    <row r="25" spans="1:7" x14ac:dyDescent="0.3">
      <c r="A25" t="s">
        <v>25</v>
      </c>
      <c r="B25" s="3">
        <f>VLOOKUP(A25, 'Persentase Internet'!A26:B26, 2, FALSE)</f>
        <v>89.31</v>
      </c>
      <c r="C25" s="3">
        <f>VLOOKUP(A25, PDRB!A26:B26, 2, FALSE)</f>
        <v>69352</v>
      </c>
      <c r="D25" s="3">
        <f>VLOOKUP(A25, 'Persentase Penduduk Miskin'!A26:B26, 2, FALSE)</f>
        <v>6.7</v>
      </c>
      <c r="E25" s="3">
        <f>VLOOKUP(A25, 'Persentase Penduduk Perkotaan'!A26:B26, 2, FALSE)</f>
        <v>59.2</v>
      </c>
      <c r="F25" s="3">
        <f>VLOOKUP(A25, RLS!A26:B26, 2, FALSE)</f>
        <v>9.84</v>
      </c>
      <c r="G25" s="3">
        <f>VLOOKUP(A25, 'Kepadatan Penduduk'!A26:B26, 2, FALSE)</f>
        <v>186</v>
      </c>
    </row>
    <row r="26" spans="1:7" x14ac:dyDescent="0.3">
      <c r="A26" t="s">
        <v>26</v>
      </c>
      <c r="B26" s="3">
        <f>VLOOKUP(A26, 'Persentase Internet'!A27:B27, 2, FALSE)</f>
        <v>87.94</v>
      </c>
      <c r="C26" s="3">
        <f>VLOOKUP(A26, PDRB!A27:B27, 2, FALSE)</f>
        <v>120750</v>
      </c>
      <c r="D26" s="3">
        <f>VLOOKUP(A26, 'Persentase Penduduk Miskin'!A27:B27, 2, FALSE)</f>
        <v>11.04</v>
      </c>
      <c r="E26" s="3">
        <f>VLOOKUP(A26, 'Persentase Penduduk Perkotaan'!A27:B27, 2, FALSE)</f>
        <v>34.200000000000003</v>
      </c>
      <c r="F26" s="3">
        <f>VLOOKUP(A26, RLS!A27:B27, 2, FALSE)</f>
        <v>9.0399999999999991</v>
      </c>
      <c r="G26" s="3">
        <f>VLOOKUP(A26, 'Kepadatan Penduduk'!A27:B27, 2, FALSE)</f>
        <v>51</v>
      </c>
    </row>
    <row r="27" spans="1:7" x14ac:dyDescent="0.3">
      <c r="A27" t="s">
        <v>27</v>
      </c>
      <c r="B27" s="3">
        <f>VLOOKUP(A27, 'Persentase Internet'!A28:B28, 2, FALSE)</f>
        <v>92.18</v>
      </c>
      <c r="C27" s="3">
        <f>VLOOKUP(A27, PDRB!A28:B28, 2, FALSE)</f>
        <v>73573</v>
      </c>
      <c r="D27" s="3">
        <f>VLOOKUP(A27, 'Persentase Penduduk Miskin'!A28:B28, 2, FALSE)</f>
        <v>7.77</v>
      </c>
      <c r="E27" s="3">
        <f>VLOOKUP(A27, 'Persentase Penduduk Perkotaan'!A28:B28, 2, FALSE)</f>
        <v>49.8</v>
      </c>
      <c r="F27" s="3">
        <f>VLOOKUP(A27, RLS!A28:B28, 2, FALSE)</f>
        <v>8.86</v>
      </c>
      <c r="G27" s="3">
        <f>VLOOKUP(A27, 'Kepadatan Penduduk'!A28:B28, 2, FALSE)</f>
        <v>209</v>
      </c>
    </row>
    <row r="28" spans="1:7" x14ac:dyDescent="0.3">
      <c r="A28" t="s">
        <v>28</v>
      </c>
      <c r="B28" s="3">
        <f>VLOOKUP(A28, 'Persentase Internet'!A29:B29, 2, FALSE)</f>
        <v>91.7</v>
      </c>
      <c r="C28" s="3">
        <f>VLOOKUP(A28, PDRB!A29:B29, 2, FALSE)</f>
        <v>67840</v>
      </c>
      <c r="D28" s="3">
        <f>VLOOKUP(A28, 'Persentase Penduduk Miskin'!A29:B29, 2, FALSE)</f>
        <v>10.63</v>
      </c>
      <c r="E28" s="3">
        <f>VLOOKUP(A28, 'Persentase Penduduk Perkotaan'!A29:B29, 2, FALSE)</f>
        <v>39.4</v>
      </c>
      <c r="F28" s="3">
        <f>VLOOKUP(A28, RLS!A29:B29, 2, FALSE)</f>
        <v>9.42</v>
      </c>
      <c r="G28" s="3">
        <f>VLOOKUP(A28, 'Kepadatan Penduduk'!A29:B29, 2, FALSE)</f>
        <v>77</v>
      </c>
    </row>
    <row r="29" spans="1:7" x14ac:dyDescent="0.3">
      <c r="A29" t="s">
        <v>29</v>
      </c>
      <c r="B29" s="3">
        <f>VLOOKUP(A29, 'Persentase Internet'!A30:B30, 2, FALSE)</f>
        <v>90.17</v>
      </c>
      <c r="C29" s="3">
        <f>VLOOKUP(A29, PDRB!A30:B30, 2, FALSE)</f>
        <v>44433</v>
      </c>
      <c r="D29" s="3">
        <f>VLOOKUP(A29, 'Persentase Penduduk Miskin'!A30:B30, 2, FALSE)</f>
        <v>13.87</v>
      </c>
      <c r="E29" s="3">
        <f>VLOOKUP(A29, 'Persentase Penduduk Perkotaan'!A30:B30, 2, FALSE)</f>
        <v>48.9</v>
      </c>
      <c r="F29" s="3">
        <f>VLOOKUP(A29, RLS!A30:B30, 2, FALSE)</f>
        <v>8.2899999999999991</v>
      </c>
      <c r="G29" s="3">
        <f>VLOOKUP(A29, 'Kepadatan Penduduk'!A30:B30, 2, FALSE)</f>
        <v>102</v>
      </c>
    </row>
    <row r="30" spans="1:7" x14ac:dyDescent="0.3">
      <c r="A30" t="s">
        <v>30</v>
      </c>
      <c r="B30" s="3">
        <f>VLOOKUP(A30, 'Persentase Internet'!A31:B31, 2, FALSE)</f>
        <v>89.67</v>
      </c>
      <c r="C30" s="3">
        <f>VLOOKUP(A30, PDRB!A31:B31, 2, FALSE)</f>
        <v>42718</v>
      </c>
      <c r="D30" s="3">
        <f>VLOOKUP(A30, 'Persentase Penduduk Miskin'!A31:B31, 2, FALSE)</f>
        <v>10.71</v>
      </c>
      <c r="E30" s="3">
        <f>VLOOKUP(A30, 'Persentase Penduduk Perkotaan'!A31:B31, 2, FALSE)</f>
        <v>23</v>
      </c>
      <c r="F30" s="3">
        <f>VLOOKUP(A30, RLS!A31:B31, 2, FALSE)</f>
        <v>8.15</v>
      </c>
      <c r="G30" s="3">
        <f>VLOOKUP(A30, 'Kepadatan Penduduk'!A31:B31, 2, FALSE)</f>
        <v>91</v>
      </c>
    </row>
    <row r="31" spans="1:7" x14ac:dyDescent="0.3">
      <c r="A31" t="s">
        <v>31</v>
      </c>
      <c r="B31" s="3">
        <f>VLOOKUP(A31, 'Persentase Internet'!A32:B32, 2, FALSE)</f>
        <v>87.27</v>
      </c>
      <c r="C31" s="3">
        <f>VLOOKUP(A31, PDRB!A32:B32, 2, FALSE)</f>
        <v>32198</v>
      </c>
      <c r="D31" s="3">
        <f>VLOOKUP(A31, 'Persentase Penduduk Miskin'!A32:B32, 2, FALSE)</f>
        <v>15.78</v>
      </c>
      <c r="E31" s="3">
        <f>VLOOKUP(A31, 'Persentase Penduduk Perkotaan'!A32:B32, 2, FALSE)</f>
        <v>39.9</v>
      </c>
      <c r="F31" s="3">
        <f>VLOOKUP(A31, RLS!A32:B32, 2, FALSE)</f>
        <v>10.26</v>
      </c>
      <c r="G31" s="3">
        <f>VLOOKUP(A31, 'Kepadatan Penduduk'!A32:B32, 2, FALSE)</f>
        <v>42</v>
      </c>
    </row>
    <row r="32" spans="1:7" x14ac:dyDescent="0.3">
      <c r="A32" t="s">
        <v>32</v>
      </c>
      <c r="B32" s="3">
        <f>VLOOKUP(A32, 'Persentase Internet'!A33:B33, 2, FALSE)</f>
        <v>87.28</v>
      </c>
      <c r="C32" s="3">
        <f>VLOOKUP(A32, PDRB!A33:B33, 2, FALSE)</f>
        <v>70660</v>
      </c>
      <c r="D32" s="3">
        <f>VLOOKUP(A32, 'Persentase Penduduk Miskin'!A33:B33, 2, FALSE)</f>
        <v>6.03</v>
      </c>
      <c r="E32" s="3">
        <f>VLOOKUP(A32, 'Persentase Penduduk Perkotaan'!A33:B33, 2, FALSE)</f>
        <v>29.2</v>
      </c>
      <c r="F32" s="3">
        <f>VLOOKUP(A32, RLS!A33:B33, 2, FALSE)</f>
        <v>9.3699999999999992</v>
      </c>
      <c r="G32" s="3">
        <f>VLOOKUP(A32, 'Kepadatan Penduduk'!A33:B33, 2, FALSE)</f>
        <v>41</v>
      </c>
    </row>
    <row r="33" spans="1:7" x14ac:dyDescent="0.3">
      <c r="A33" t="s">
        <v>33</v>
      </c>
      <c r="B33" s="3">
        <f>VLOOKUP(A33, 'Persentase Internet'!A34:B34, 2, FALSE)</f>
        <v>85.51</v>
      </c>
      <c r="C33" s="3">
        <f>VLOOKUP(A33, PDRB!A34:B34, 2, FALSE)</f>
        <v>131636</v>
      </c>
      <c r="D33" s="3">
        <f>VLOOKUP(A33, 'Persentase Penduduk Miskin'!A34:B34, 2, FALSE)</f>
        <v>21.09</v>
      </c>
      <c r="E33" s="3">
        <f>VLOOKUP(A33, 'Persentase Penduduk Perkotaan'!A34:B34, 2, FALSE)</f>
        <v>37.799999999999997</v>
      </c>
      <c r="F33" s="3">
        <f>VLOOKUP(A33, RLS!A34:B34, 2, FALSE)</f>
        <v>7.86</v>
      </c>
      <c r="G33" s="3">
        <f>VLOOKUP(A33, 'Kepadatan Penduduk'!A34:B34, 2, FALSE)</f>
        <v>10</v>
      </c>
    </row>
    <row r="34" spans="1:7" x14ac:dyDescent="0.3">
      <c r="A34" t="s">
        <v>35</v>
      </c>
      <c r="B34" s="3">
        <f>VLOOKUP(A34, 'Persentase Internet'!A36:B36, 2, FALSE)</f>
        <v>81.99</v>
      </c>
      <c r="C34" s="3">
        <f>VLOOKUP(A34, PDRB!A36:B36, 2, FALSE)</f>
        <v>81009</v>
      </c>
      <c r="D34" s="3">
        <f>VLOOKUP(A34, 'Persentase Penduduk Miskin'!A36:B36, 2, FALSE)</f>
        <v>18.09</v>
      </c>
      <c r="E34" s="3">
        <f>VLOOKUP(A34, 'Persentase Penduduk Perkotaan'!A36:B36, 2, FALSE)</f>
        <v>34.200000000000003</v>
      </c>
      <c r="F34" s="3">
        <f>VLOOKUP(A34, RLS!A36:B36, 2, FALSE)</f>
        <v>9.82</v>
      </c>
      <c r="G34" s="3">
        <f>VLOOKUP(A34, 'Kepadatan Penduduk'!A36:B36, 2, FALSE)</f>
        <v>13</v>
      </c>
    </row>
    <row r="35" spans="1:7" x14ac:dyDescent="0.3">
      <c r="B35" s="3"/>
      <c r="C35" s="3"/>
      <c r="D35" s="3"/>
      <c r="E35" s="3"/>
      <c r="F35" s="3"/>
      <c r="G35" s="3"/>
    </row>
    <row r="37" spans="1:7" x14ac:dyDescent="0.3">
      <c r="B37" s="3"/>
      <c r="C37" s="3"/>
      <c r="D37" s="3"/>
      <c r="E37" s="3"/>
      <c r="F37" s="3"/>
      <c r="G37" s="3"/>
    </row>
    <row r="38" spans="1:7" x14ac:dyDescent="0.3">
      <c r="B38" s="3"/>
      <c r="C38" s="3"/>
      <c r="D38" s="3"/>
      <c r="E38" s="3"/>
      <c r="F38" s="3"/>
      <c r="G38" s="3"/>
    </row>
    <row r="39" spans="1:7" x14ac:dyDescent="0.3">
      <c r="B39" s="3"/>
      <c r="C39" s="3"/>
      <c r="D39" s="3"/>
      <c r="E39" s="3"/>
      <c r="F39" s="3"/>
      <c r="G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2564-15A7-4335-A894-18AB501FD883}">
  <dimension ref="A1:B40"/>
  <sheetViews>
    <sheetView workbookViewId="0">
      <selection activeCell="C3" sqref="C3"/>
    </sheetView>
  </sheetViews>
  <sheetFormatPr defaultRowHeight="14.4" x14ac:dyDescent="0.3"/>
  <cols>
    <col min="1" max="1" width="18" bestFit="1" customWidth="1"/>
    <col min="2" max="2" width="17.33203125" bestFit="1" customWidth="1"/>
  </cols>
  <sheetData>
    <row r="1" spans="1:2" x14ac:dyDescent="0.3">
      <c r="A1" t="s">
        <v>0</v>
      </c>
      <c r="B1" t="s">
        <v>40</v>
      </c>
    </row>
    <row r="2" spans="1:2" x14ac:dyDescent="0.3">
      <c r="A2" t="s">
        <v>1</v>
      </c>
      <c r="B2">
        <v>88.95</v>
      </c>
    </row>
    <row r="3" spans="1:2" x14ac:dyDescent="0.3">
      <c r="A3" t="s">
        <v>2</v>
      </c>
      <c r="B3">
        <v>92.3</v>
      </c>
    </row>
    <row r="4" spans="1:2" x14ac:dyDescent="0.3">
      <c r="A4" t="s">
        <v>3</v>
      </c>
      <c r="B4">
        <v>91.89</v>
      </c>
    </row>
    <row r="5" spans="1:2" x14ac:dyDescent="0.3">
      <c r="A5" t="s">
        <v>4</v>
      </c>
      <c r="B5">
        <v>94.16</v>
      </c>
    </row>
    <row r="6" spans="1:2" x14ac:dyDescent="0.3">
      <c r="A6" t="s">
        <v>5</v>
      </c>
      <c r="B6">
        <v>90.59</v>
      </c>
    </row>
    <row r="7" spans="1:2" x14ac:dyDescent="0.3">
      <c r="A7" t="s">
        <v>6</v>
      </c>
      <c r="B7">
        <v>90.94</v>
      </c>
    </row>
    <row r="8" spans="1:2" x14ac:dyDescent="0.3">
      <c r="A8" t="s">
        <v>7</v>
      </c>
      <c r="B8">
        <v>90.62</v>
      </c>
    </row>
    <row r="9" spans="1:2" x14ac:dyDescent="0.3">
      <c r="A9" t="s">
        <v>8</v>
      </c>
      <c r="B9">
        <v>91.57</v>
      </c>
    </row>
    <row r="10" spans="1:2" x14ac:dyDescent="0.3">
      <c r="A10" t="s">
        <v>9</v>
      </c>
      <c r="B10">
        <v>92.14</v>
      </c>
    </row>
    <row r="11" spans="1:2" x14ac:dyDescent="0.3">
      <c r="A11" t="s">
        <v>10</v>
      </c>
      <c r="B11">
        <v>97.57</v>
      </c>
    </row>
    <row r="12" spans="1:2" x14ac:dyDescent="0.3">
      <c r="A12" t="s">
        <v>11</v>
      </c>
      <c r="B12">
        <v>98.18</v>
      </c>
    </row>
    <row r="13" spans="1:2" x14ac:dyDescent="0.3">
      <c r="A13" t="s">
        <v>12</v>
      </c>
      <c r="B13">
        <v>90.58</v>
      </c>
    </row>
    <row r="14" spans="1:2" x14ac:dyDescent="0.3">
      <c r="A14" t="s">
        <v>13</v>
      </c>
      <c r="B14">
        <v>88.89</v>
      </c>
    </row>
    <row r="15" spans="1:2" x14ac:dyDescent="0.3">
      <c r="A15" t="s">
        <v>14</v>
      </c>
      <c r="B15">
        <v>89.5</v>
      </c>
    </row>
    <row r="16" spans="1:2" x14ac:dyDescent="0.3">
      <c r="A16" t="s">
        <v>15</v>
      </c>
      <c r="B16">
        <v>86.9</v>
      </c>
    </row>
    <row r="17" spans="1:2" x14ac:dyDescent="0.3">
      <c r="A17" t="s">
        <v>16</v>
      </c>
      <c r="B17">
        <v>93.02</v>
      </c>
    </row>
    <row r="18" spans="1:2" x14ac:dyDescent="0.3">
      <c r="A18" t="s">
        <v>17</v>
      </c>
      <c r="B18">
        <v>92.16</v>
      </c>
    </row>
    <row r="19" spans="1:2" x14ac:dyDescent="0.3">
      <c r="A19" t="s">
        <v>18</v>
      </c>
      <c r="B19">
        <v>86.54</v>
      </c>
    </row>
    <row r="20" spans="1:2" x14ac:dyDescent="0.3">
      <c r="A20" t="s">
        <v>19</v>
      </c>
      <c r="B20">
        <v>82.45</v>
      </c>
    </row>
    <row r="21" spans="1:2" x14ac:dyDescent="0.3">
      <c r="A21" t="s">
        <v>20</v>
      </c>
      <c r="B21">
        <v>92.65</v>
      </c>
    </row>
    <row r="22" spans="1:2" x14ac:dyDescent="0.3">
      <c r="A22" t="s">
        <v>21</v>
      </c>
      <c r="B22">
        <v>92.13</v>
      </c>
    </row>
    <row r="23" spans="1:2" x14ac:dyDescent="0.3">
      <c r="A23" t="s">
        <v>22</v>
      </c>
      <c r="B23">
        <v>89.22</v>
      </c>
    </row>
    <row r="24" spans="1:2" x14ac:dyDescent="0.3">
      <c r="A24" t="s">
        <v>23</v>
      </c>
      <c r="B24">
        <v>95.45</v>
      </c>
    </row>
    <row r="25" spans="1:2" x14ac:dyDescent="0.3">
      <c r="A25" t="s">
        <v>24</v>
      </c>
      <c r="B25">
        <v>94.58</v>
      </c>
    </row>
    <row r="26" spans="1:2" x14ac:dyDescent="0.3">
      <c r="A26" t="s">
        <v>25</v>
      </c>
      <c r="B26">
        <v>89.31</v>
      </c>
    </row>
    <row r="27" spans="1:2" x14ac:dyDescent="0.3">
      <c r="A27" t="s">
        <v>26</v>
      </c>
      <c r="B27">
        <v>87.94</v>
      </c>
    </row>
    <row r="28" spans="1:2" x14ac:dyDescent="0.3">
      <c r="A28" t="s">
        <v>27</v>
      </c>
      <c r="B28">
        <v>92.18</v>
      </c>
    </row>
    <row r="29" spans="1:2" x14ac:dyDescent="0.3">
      <c r="A29" t="s">
        <v>28</v>
      </c>
      <c r="B29">
        <v>91.7</v>
      </c>
    </row>
    <row r="30" spans="1:2" x14ac:dyDescent="0.3">
      <c r="A30" t="s">
        <v>29</v>
      </c>
      <c r="B30">
        <v>90.17</v>
      </c>
    </row>
    <row r="31" spans="1:2" x14ac:dyDescent="0.3">
      <c r="A31" t="s">
        <v>30</v>
      </c>
      <c r="B31">
        <v>89.67</v>
      </c>
    </row>
    <row r="32" spans="1:2" x14ac:dyDescent="0.3">
      <c r="A32" t="s">
        <v>31</v>
      </c>
      <c r="B32">
        <v>87.27</v>
      </c>
    </row>
    <row r="33" spans="1:2" x14ac:dyDescent="0.3">
      <c r="A33" t="s">
        <v>32</v>
      </c>
      <c r="B33">
        <v>87.28</v>
      </c>
    </row>
    <row r="34" spans="1:2" x14ac:dyDescent="0.3">
      <c r="A34" t="s">
        <v>33</v>
      </c>
      <c r="B34">
        <v>85.51</v>
      </c>
    </row>
    <row r="35" spans="1:2" x14ac:dyDescent="0.3">
      <c r="A35" t="s">
        <v>34</v>
      </c>
      <c r="B35">
        <v>88.49</v>
      </c>
    </row>
    <row r="36" spans="1:2" x14ac:dyDescent="0.3">
      <c r="A36" t="s">
        <v>35</v>
      </c>
      <c r="B36">
        <v>81.99</v>
      </c>
    </row>
    <row r="37" spans="1:2" x14ac:dyDescent="0.3">
      <c r="A37" t="s">
        <v>36</v>
      </c>
      <c r="B37">
        <v>65.709999999999994</v>
      </c>
    </row>
    <row r="38" spans="1:2" x14ac:dyDescent="0.3">
      <c r="A38" t="s">
        <v>37</v>
      </c>
      <c r="B38">
        <v>36.08</v>
      </c>
    </row>
    <row r="39" spans="1:2" x14ac:dyDescent="0.3">
      <c r="A39" t="s">
        <v>38</v>
      </c>
      <c r="B39">
        <v>12.15</v>
      </c>
    </row>
    <row r="40" spans="1:2" x14ac:dyDescent="0.3">
      <c r="A40" t="s">
        <v>39</v>
      </c>
      <c r="B40">
        <v>89.76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57AE-D03E-48CC-90E0-234623D934B5}">
  <dimension ref="A1:B39"/>
  <sheetViews>
    <sheetView topLeftCell="A4" workbookViewId="0">
      <selection activeCell="G14" sqref="G14"/>
    </sheetView>
  </sheetViews>
  <sheetFormatPr defaultRowHeight="14.4" x14ac:dyDescent="0.3"/>
  <cols>
    <col min="1" max="1" width="25.5546875" bestFit="1" customWidth="1"/>
  </cols>
  <sheetData>
    <row r="1" spans="1:2" x14ac:dyDescent="0.3">
      <c r="A1" t="s">
        <v>0</v>
      </c>
      <c r="B1" t="s">
        <v>43</v>
      </c>
    </row>
    <row r="2" spans="1:2" ht="15.6" x14ac:dyDescent="0.3">
      <c r="A2" s="1" t="s">
        <v>1</v>
      </c>
      <c r="B2" s="2">
        <v>43782</v>
      </c>
    </row>
    <row r="3" spans="1:2" ht="15.6" x14ac:dyDescent="0.3">
      <c r="A3" s="1" t="s">
        <v>2</v>
      </c>
      <c r="B3" s="2">
        <v>73575</v>
      </c>
    </row>
    <row r="4" spans="1:2" ht="15.6" x14ac:dyDescent="0.3">
      <c r="A4" s="1" t="s">
        <v>3</v>
      </c>
      <c r="B4" s="2">
        <v>57047</v>
      </c>
    </row>
    <row r="5" spans="1:2" ht="15.6" x14ac:dyDescent="0.3">
      <c r="A5" s="1" t="s">
        <v>4</v>
      </c>
      <c r="B5" s="2">
        <v>165350</v>
      </c>
    </row>
    <row r="6" spans="1:2" ht="15.6" x14ac:dyDescent="0.3">
      <c r="A6" s="1" t="s">
        <v>5</v>
      </c>
      <c r="B6" s="2">
        <v>86722</v>
      </c>
    </row>
    <row r="7" spans="1:2" ht="15.6" x14ac:dyDescent="0.3">
      <c r="A7" s="1" t="s">
        <v>6</v>
      </c>
      <c r="B7" s="2">
        <v>75132</v>
      </c>
    </row>
    <row r="8" spans="1:2" ht="15.6" x14ac:dyDescent="0.3">
      <c r="A8" s="1" t="s">
        <v>7</v>
      </c>
      <c r="B8" s="2">
        <v>49233</v>
      </c>
    </row>
    <row r="9" spans="1:2" ht="15.6" x14ac:dyDescent="0.3">
      <c r="A9" s="1" t="s">
        <v>8</v>
      </c>
      <c r="B9" s="2">
        <v>51370</v>
      </c>
    </row>
    <row r="10" spans="1:2" ht="15.6" x14ac:dyDescent="0.3">
      <c r="A10" s="1" t="s">
        <v>9</v>
      </c>
      <c r="B10" s="2">
        <v>70194</v>
      </c>
    </row>
    <row r="11" spans="1:2" ht="15.6" x14ac:dyDescent="0.3">
      <c r="A11" s="1" t="s">
        <v>10</v>
      </c>
      <c r="B11" s="2">
        <v>161424</v>
      </c>
    </row>
    <row r="12" spans="1:2" ht="15.6" x14ac:dyDescent="0.3">
      <c r="A12" s="1" t="s">
        <v>41</v>
      </c>
      <c r="B12" s="2">
        <v>344350</v>
      </c>
    </row>
    <row r="13" spans="1:2" ht="15.6" x14ac:dyDescent="0.3">
      <c r="A13" s="1" t="s">
        <v>12</v>
      </c>
      <c r="B13" s="2">
        <v>56080</v>
      </c>
    </row>
    <row r="14" spans="1:2" ht="15.6" x14ac:dyDescent="0.3">
      <c r="A14" s="1" t="s">
        <v>13</v>
      </c>
      <c r="B14" s="2">
        <v>47972</v>
      </c>
    </row>
    <row r="15" spans="1:2" ht="15.6" x14ac:dyDescent="0.3">
      <c r="A15" s="1" t="s">
        <v>42</v>
      </c>
      <c r="B15" s="2">
        <v>51473</v>
      </c>
    </row>
    <row r="16" spans="1:2" ht="15.6" x14ac:dyDescent="0.3">
      <c r="A16" s="1" t="s">
        <v>15</v>
      </c>
      <c r="B16" s="2">
        <v>75770</v>
      </c>
    </row>
    <row r="17" spans="1:2" ht="15.6" x14ac:dyDescent="0.3">
      <c r="A17" s="1" t="s">
        <v>16</v>
      </c>
      <c r="B17" s="2">
        <v>70276</v>
      </c>
    </row>
    <row r="18" spans="1:2" ht="15.6" x14ac:dyDescent="0.3">
      <c r="A18" s="1" t="s">
        <v>17</v>
      </c>
      <c r="B18" s="2">
        <v>67319</v>
      </c>
    </row>
    <row r="19" spans="1:2" ht="15.6" x14ac:dyDescent="0.3">
      <c r="A19" s="1" t="s">
        <v>18</v>
      </c>
      <c r="B19" s="2">
        <v>32282</v>
      </c>
    </row>
    <row r="20" spans="1:2" ht="15.6" x14ac:dyDescent="0.3">
      <c r="A20" s="1" t="s">
        <v>19</v>
      </c>
      <c r="B20" s="2">
        <v>24272</v>
      </c>
    </row>
    <row r="21" spans="1:2" ht="15.6" x14ac:dyDescent="0.3">
      <c r="A21" s="1" t="s">
        <v>20</v>
      </c>
      <c r="B21" s="2">
        <v>52703</v>
      </c>
    </row>
    <row r="22" spans="1:2" ht="15.6" x14ac:dyDescent="0.3">
      <c r="A22" s="1" t="s">
        <v>21</v>
      </c>
      <c r="B22" s="2">
        <v>79320</v>
      </c>
    </row>
    <row r="23" spans="1:2" ht="15.6" x14ac:dyDescent="0.3">
      <c r="A23" s="1" t="s">
        <v>22</v>
      </c>
      <c r="B23" s="2">
        <v>67117</v>
      </c>
    </row>
    <row r="24" spans="1:2" ht="15.6" x14ac:dyDescent="0.3">
      <c r="A24" s="1" t="s">
        <v>23</v>
      </c>
      <c r="B24" s="2">
        <v>212175</v>
      </c>
    </row>
    <row r="25" spans="1:2" ht="15.6" x14ac:dyDescent="0.3">
      <c r="A25" s="1" t="s">
        <v>24</v>
      </c>
      <c r="B25" s="2">
        <v>198429</v>
      </c>
    </row>
    <row r="26" spans="1:2" ht="15.6" x14ac:dyDescent="0.3">
      <c r="A26" s="1" t="s">
        <v>25</v>
      </c>
      <c r="B26" s="2">
        <v>69352</v>
      </c>
    </row>
    <row r="27" spans="1:2" ht="15.6" x14ac:dyDescent="0.3">
      <c r="A27" s="1" t="s">
        <v>26</v>
      </c>
      <c r="B27" s="2">
        <v>120750</v>
      </c>
    </row>
    <row r="28" spans="1:2" ht="15.6" x14ac:dyDescent="0.3">
      <c r="A28" s="1" t="s">
        <v>27</v>
      </c>
      <c r="B28" s="2">
        <v>73573</v>
      </c>
    </row>
    <row r="29" spans="1:2" ht="15.6" x14ac:dyDescent="0.3">
      <c r="A29" s="1" t="s">
        <v>28</v>
      </c>
      <c r="B29" s="2">
        <v>67840</v>
      </c>
    </row>
    <row r="30" spans="1:2" ht="15.6" x14ac:dyDescent="0.3">
      <c r="A30" s="1" t="s">
        <v>29</v>
      </c>
      <c r="B30" s="2">
        <v>44433</v>
      </c>
    </row>
    <row r="31" spans="1:2" ht="15.6" x14ac:dyDescent="0.3">
      <c r="A31" s="1" t="s">
        <v>30</v>
      </c>
      <c r="B31" s="2">
        <v>42718</v>
      </c>
    </row>
    <row r="32" spans="1:2" ht="15.6" x14ac:dyDescent="0.3">
      <c r="A32" s="1" t="s">
        <v>31</v>
      </c>
      <c r="B32" s="2">
        <v>32198</v>
      </c>
    </row>
    <row r="33" spans="1:2" ht="15.6" x14ac:dyDescent="0.3">
      <c r="A33" s="1" t="s">
        <v>32</v>
      </c>
      <c r="B33" s="2">
        <v>70660</v>
      </c>
    </row>
    <row r="34" spans="1:2" ht="15.6" x14ac:dyDescent="0.3">
      <c r="A34" s="1" t="s">
        <v>33</v>
      </c>
      <c r="B34" s="2">
        <v>131636</v>
      </c>
    </row>
    <row r="35" spans="1:2" ht="15.6" x14ac:dyDescent="0.3">
      <c r="A35" s="1" t="s">
        <v>34</v>
      </c>
      <c r="B35" s="2">
        <v>59064</v>
      </c>
    </row>
    <row r="36" spans="1:2" ht="15.6" x14ac:dyDescent="0.3">
      <c r="A36" s="1" t="s">
        <v>35</v>
      </c>
      <c r="B36" s="2">
        <v>81009</v>
      </c>
    </row>
    <row r="37" spans="1:2" ht="15.6" x14ac:dyDescent="0.3">
      <c r="A37" s="1" t="s">
        <v>36</v>
      </c>
      <c r="B37" s="2">
        <v>61583</v>
      </c>
    </row>
    <row r="38" spans="1:2" ht="15.6" x14ac:dyDescent="0.3">
      <c r="A38" s="1" t="s">
        <v>37</v>
      </c>
      <c r="B38" s="2">
        <v>118774</v>
      </c>
    </row>
    <row r="39" spans="1:2" ht="15.6" x14ac:dyDescent="0.3">
      <c r="A39" s="1" t="s">
        <v>38</v>
      </c>
      <c r="B39" s="2">
        <v>18105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4249-F759-4868-BDB0-B2FF46AC099E}">
  <dimension ref="A1:B40"/>
  <sheetViews>
    <sheetView workbookViewId="0">
      <selection activeCell="H12" sqref="H12"/>
    </sheetView>
  </sheetViews>
  <sheetFormatPr defaultRowHeight="14.4" x14ac:dyDescent="0.3"/>
  <cols>
    <col min="1" max="1" width="18" bestFit="1" customWidth="1"/>
    <col min="2" max="2" width="20.21875" bestFit="1" customWidth="1"/>
  </cols>
  <sheetData>
    <row r="1" spans="1:2" x14ac:dyDescent="0.3">
      <c r="A1" t="s">
        <v>0</v>
      </c>
      <c r="B1" t="s">
        <v>44</v>
      </c>
    </row>
    <row r="2" spans="1:2" x14ac:dyDescent="0.3">
      <c r="A2" t="s">
        <v>1</v>
      </c>
      <c r="B2">
        <v>12.64</v>
      </c>
    </row>
    <row r="3" spans="1:2" x14ac:dyDescent="0.3">
      <c r="A3" t="s">
        <v>2</v>
      </c>
      <c r="B3">
        <v>7.19</v>
      </c>
    </row>
    <row r="4" spans="1:2" x14ac:dyDescent="0.3">
      <c r="A4" t="s">
        <v>3</v>
      </c>
      <c r="B4">
        <v>5.42</v>
      </c>
    </row>
    <row r="5" spans="1:2" x14ac:dyDescent="0.3">
      <c r="A5" t="s">
        <v>4</v>
      </c>
      <c r="B5">
        <v>6.36</v>
      </c>
    </row>
    <row r="6" spans="1:2" x14ac:dyDescent="0.3">
      <c r="A6" t="s">
        <v>5</v>
      </c>
      <c r="B6">
        <v>7.26</v>
      </c>
    </row>
    <row r="7" spans="1:2" x14ac:dyDescent="0.3">
      <c r="A7" t="s">
        <v>6</v>
      </c>
      <c r="B7">
        <v>10.51</v>
      </c>
    </row>
    <row r="8" spans="1:2" x14ac:dyDescent="0.3">
      <c r="A8" t="s">
        <v>7</v>
      </c>
      <c r="B8">
        <v>12.52</v>
      </c>
    </row>
    <row r="9" spans="1:2" x14ac:dyDescent="0.3">
      <c r="A9" t="s">
        <v>8</v>
      </c>
      <c r="B9">
        <v>10.62</v>
      </c>
    </row>
    <row r="10" spans="1:2" x14ac:dyDescent="0.3">
      <c r="A10" t="s">
        <v>9</v>
      </c>
      <c r="B10">
        <v>5.08</v>
      </c>
    </row>
    <row r="11" spans="1:2" x14ac:dyDescent="0.3">
      <c r="A11" t="s">
        <v>10</v>
      </c>
      <c r="B11">
        <v>4.78</v>
      </c>
    </row>
    <row r="12" spans="1:2" x14ac:dyDescent="0.3">
      <c r="A12" t="s">
        <v>11</v>
      </c>
      <c r="B12">
        <v>4.1399999999999997</v>
      </c>
    </row>
    <row r="13" spans="1:2" x14ac:dyDescent="0.3">
      <c r="A13" t="s">
        <v>12</v>
      </c>
      <c r="B13">
        <v>7.08</v>
      </c>
    </row>
    <row r="14" spans="1:2" x14ac:dyDescent="0.3">
      <c r="A14" t="s">
        <v>13</v>
      </c>
      <c r="B14">
        <v>9.58</v>
      </c>
    </row>
    <row r="15" spans="1:2" x14ac:dyDescent="0.3">
      <c r="A15" t="s">
        <v>14</v>
      </c>
      <c r="B15">
        <v>10.4</v>
      </c>
    </row>
    <row r="16" spans="1:2" x14ac:dyDescent="0.3">
      <c r="A16" t="s">
        <v>15</v>
      </c>
      <c r="B16">
        <v>9.56</v>
      </c>
    </row>
    <row r="17" spans="1:2" x14ac:dyDescent="0.3">
      <c r="A17" t="s">
        <v>16</v>
      </c>
      <c r="B17">
        <v>5.7</v>
      </c>
    </row>
    <row r="18" spans="1:2" x14ac:dyDescent="0.3">
      <c r="A18" t="s">
        <v>17</v>
      </c>
      <c r="B18">
        <v>3.8</v>
      </c>
    </row>
    <row r="19" spans="1:2" x14ac:dyDescent="0.3">
      <c r="A19" t="s">
        <v>18</v>
      </c>
      <c r="B19">
        <v>11.91</v>
      </c>
    </row>
    <row r="20" spans="1:2" x14ac:dyDescent="0.3">
      <c r="A20" t="s">
        <v>19</v>
      </c>
      <c r="B20">
        <v>19.02</v>
      </c>
    </row>
    <row r="21" spans="1:2" x14ac:dyDescent="0.3">
      <c r="A21" t="s">
        <v>20</v>
      </c>
      <c r="B21">
        <v>6.25</v>
      </c>
    </row>
    <row r="22" spans="1:2" x14ac:dyDescent="0.3">
      <c r="A22" t="s">
        <v>21</v>
      </c>
      <c r="B22">
        <v>5.26</v>
      </c>
    </row>
    <row r="23" spans="1:2" x14ac:dyDescent="0.3">
      <c r="A23" t="s">
        <v>22</v>
      </c>
      <c r="B23">
        <v>4.0199999999999996</v>
      </c>
    </row>
    <row r="24" spans="1:2" x14ac:dyDescent="0.3">
      <c r="A24" t="s">
        <v>23</v>
      </c>
      <c r="B24">
        <v>5.51</v>
      </c>
    </row>
    <row r="25" spans="1:2" x14ac:dyDescent="0.3">
      <c r="A25" t="s">
        <v>24</v>
      </c>
      <c r="B25">
        <v>5.38</v>
      </c>
    </row>
    <row r="26" spans="1:2" x14ac:dyDescent="0.3">
      <c r="A26" t="s">
        <v>25</v>
      </c>
      <c r="B26">
        <v>6.7</v>
      </c>
    </row>
    <row r="27" spans="1:2" x14ac:dyDescent="0.3">
      <c r="A27" t="s">
        <v>26</v>
      </c>
      <c r="B27">
        <v>11.04</v>
      </c>
    </row>
    <row r="28" spans="1:2" x14ac:dyDescent="0.3">
      <c r="A28" t="s">
        <v>27</v>
      </c>
      <c r="B28">
        <v>7.77</v>
      </c>
    </row>
    <row r="29" spans="1:2" x14ac:dyDescent="0.3">
      <c r="A29" t="s">
        <v>28</v>
      </c>
      <c r="B29">
        <v>10.63</v>
      </c>
    </row>
    <row r="30" spans="1:2" x14ac:dyDescent="0.3">
      <c r="A30" t="s">
        <v>29</v>
      </c>
      <c r="B30">
        <v>13.87</v>
      </c>
    </row>
    <row r="31" spans="1:2" x14ac:dyDescent="0.3">
      <c r="A31" t="s">
        <v>30</v>
      </c>
      <c r="B31">
        <v>10.71</v>
      </c>
    </row>
    <row r="32" spans="1:2" x14ac:dyDescent="0.3">
      <c r="A32" t="s">
        <v>31</v>
      </c>
      <c r="B32">
        <v>15.78</v>
      </c>
    </row>
    <row r="33" spans="1:2" x14ac:dyDescent="0.3">
      <c r="A33" t="s">
        <v>32</v>
      </c>
      <c r="B33">
        <v>6.03</v>
      </c>
    </row>
    <row r="34" spans="1:2" x14ac:dyDescent="0.3">
      <c r="A34" t="s">
        <v>33</v>
      </c>
      <c r="B34">
        <v>21.09</v>
      </c>
    </row>
    <row r="35" spans="1:2" x14ac:dyDescent="0.3">
      <c r="A35" t="s">
        <v>34</v>
      </c>
      <c r="B35">
        <v>16.95</v>
      </c>
    </row>
    <row r="36" spans="1:2" x14ac:dyDescent="0.3">
      <c r="A36" t="s">
        <v>35</v>
      </c>
      <c r="B36">
        <v>18.09</v>
      </c>
    </row>
    <row r="37" spans="1:2" x14ac:dyDescent="0.3">
      <c r="A37" t="s">
        <v>36</v>
      </c>
      <c r="B37">
        <v>19.350000000000001</v>
      </c>
    </row>
    <row r="38" spans="1:2" x14ac:dyDescent="0.3">
      <c r="A38" t="s">
        <v>37</v>
      </c>
      <c r="B38">
        <v>27.6</v>
      </c>
    </row>
    <row r="39" spans="1:2" x14ac:dyDescent="0.3">
      <c r="A39" t="s">
        <v>38</v>
      </c>
      <c r="B39">
        <v>29.66</v>
      </c>
    </row>
    <row r="40" spans="1:2" x14ac:dyDescent="0.3">
      <c r="B40">
        <v>8.57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37EB-F4BC-47B4-9D05-4CEE9EF00872}">
  <dimension ref="A1:D39"/>
  <sheetViews>
    <sheetView workbookViewId="0">
      <selection activeCell="A12" sqref="A12"/>
    </sheetView>
  </sheetViews>
  <sheetFormatPr defaultRowHeight="14.4" x14ac:dyDescent="0.3"/>
  <cols>
    <col min="1" max="1" width="22.77734375" bestFit="1" customWidth="1"/>
  </cols>
  <sheetData>
    <row r="1" spans="1:4" s="3" customFormat="1" x14ac:dyDescent="0.3">
      <c r="A1" s="3" t="s">
        <v>0</v>
      </c>
      <c r="B1" s="3" t="s">
        <v>52</v>
      </c>
    </row>
    <row r="2" spans="1:4" x14ac:dyDescent="0.3">
      <c r="A2" t="s">
        <v>1</v>
      </c>
      <c r="B2">
        <v>36.200000000000003</v>
      </c>
      <c r="D2" s="3"/>
    </row>
    <row r="3" spans="1:4" x14ac:dyDescent="0.3">
      <c r="A3" t="s">
        <v>2</v>
      </c>
      <c r="B3">
        <v>60.1</v>
      </c>
      <c r="D3" s="3"/>
    </row>
    <row r="4" spans="1:4" x14ac:dyDescent="0.3">
      <c r="A4" t="s">
        <v>3</v>
      </c>
      <c r="B4">
        <v>54.6</v>
      </c>
      <c r="D4" s="3"/>
    </row>
    <row r="5" spans="1:4" x14ac:dyDescent="0.3">
      <c r="A5" t="s">
        <v>4</v>
      </c>
      <c r="B5">
        <v>40.700000000000003</v>
      </c>
      <c r="D5" s="3"/>
    </row>
    <row r="6" spans="1:4" x14ac:dyDescent="0.3">
      <c r="A6" t="s">
        <v>5</v>
      </c>
      <c r="B6">
        <v>34.799999999999997</v>
      </c>
      <c r="D6" s="3"/>
    </row>
    <row r="7" spans="1:4" x14ac:dyDescent="0.3">
      <c r="A7" t="s">
        <v>6</v>
      </c>
      <c r="B7">
        <v>38.200000000000003</v>
      </c>
      <c r="D7" s="3"/>
    </row>
    <row r="8" spans="1:4" x14ac:dyDescent="0.3">
      <c r="A8" t="s">
        <v>7</v>
      </c>
      <c r="B8">
        <v>33.5</v>
      </c>
      <c r="D8" s="3"/>
    </row>
    <row r="9" spans="1:4" x14ac:dyDescent="0.3">
      <c r="A9" t="s">
        <v>8</v>
      </c>
      <c r="B9">
        <v>34.6</v>
      </c>
      <c r="D9" s="3"/>
    </row>
    <row r="10" spans="1:4" x14ac:dyDescent="0.3">
      <c r="A10" t="s">
        <v>9</v>
      </c>
      <c r="B10">
        <v>59.7</v>
      </c>
      <c r="D10" s="3"/>
    </row>
    <row r="11" spans="1:4" x14ac:dyDescent="0.3">
      <c r="A11" t="s">
        <v>10</v>
      </c>
      <c r="B11">
        <v>83.8</v>
      </c>
      <c r="D11" s="3"/>
    </row>
    <row r="12" spans="1:4" x14ac:dyDescent="0.3">
      <c r="A12" t="s">
        <v>41</v>
      </c>
      <c r="B12">
        <v>100</v>
      </c>
      <c r="D12" s="3"/>
    </row>
    <row r="13" spans="1:4" x14ac:dyDescent="0.3">
      <c r="A13" t="s">
        <v>12</v>
      </c>
      <c r="B13">
        <v>83.1</v>
      </c>
      <c r="D13" s="3"/>
    </row>
    <row r="14" spans="1:4" x14ac:dyDescent="0.3">
      <c r="A14" t="s">
        <v>13</v>
      </c>
      <c r="B14">
        <v>54.3</v>
      </c>
      <c r="D14" s="3"/>
    </row>
    <row r="15" spans="1:4" x14ac:dyDescent="0.3">
      <c r="A15" t="s">
        <v>42</v>
      </c>
      <c r="B15">
        <v>78</v>
      </c>
      <c r="D15" s="3"/>
    </row>
    <row r="16" spans="1:4" x14ac:dyDescent="0.3">
      <c r="A16" t="s">
        <v>15</v>
      </c>
      <c r="B16">
        <v>58.6</v>
      </c>
      <c r="D16" s="3"/>
    </row>
    <row r="17" spans="1:4" x14ac:dyDescent="0.3">
      <c r="A17" t="s">
        <v>16</v>
      </c>
      <c r="B17">
        <v>73.7</v>
      </c>
      <c r="D17" s="3"/>
    </row>
    <row r="18" spans="1:4" x14ac:dyDescent="0.3">
      <c r="A18" t="s">
        <v>17</v>
      </c>
      <c r="B18">
        <v>74.3</v>
      </c>
      <c r="D18" s="3"/>
    </row>
    <row r="19" spans="1:4" x14ac:dyDescent="0.3">
      <c r="A19" t="s">
        <v>18</v>
      </c>
      <c r="B19">
        <v>53.6</v>
      </c>
      <c r="D19" s="3"/>
    </row>
    <row r="20" spans="1:4" x14ac:dyDescent="0.3">
      <c r="A20" t="s">
        <v>19</v>
      </c>
      <c r="B20">
        <v>27.3</v>
      </c>
      <c r="D20" s="3"/>
    </row>
    <row r="21" spans="1:4" x14ac:dyDescent="0.3">
      <c r="A21" t="s">
        <v>20</v>
      </c>
      <c r="B21">
        <v>39.799999999999997</v>
      </c>
      <c r="D21" s="3"/>
    </row>
    <row r="22" spans="1:4" x14ac:dyDescent="0.3">
      <c r="A22" t="s">
        <v>21</v>
      </c>
      <c r="B22">
        <v>44.1</v>
      </c>
      <c r="D22" s="3"/>
    </row>
    <row r="23" spans="1:4" x14ac:dyDescent="0.3">
      <c r="A23" t="s">
        <v>22</v>
      </c>
      <c r="B23">
        <v>52</v>
      </c>
      <c r="D23" s="3"/>
    </row>
    <row r="24" spans="1:4" x14ac:dyDescent="0.3">
      <c r="A24" t="s">
        <v>23</v>
      </c>
      <c r="B24">
        <v>71.8</v>
      </c>
      <c r="D24" s="3"/>
    </row>
    <row r="25" spans="1:4" x14ac:dyDescent="0.3">
      <c r="D25" s="3"/>
    </row>
    <row r="26" spans="1:4" x14ac:dyDescent="0.3">
      <c r="A26" t="s">
        <v>25</v>
      </c>
      <c r="B26">
        <v>59.2</v>
      </c>
      <c r="D26" s="3"/>
    </row>
    <row r="27" spans="1:4" x14ac:dyDescent="0.3">
      <c r="A27" t="s">
        <v>26</v>
      </c>
      <c r="B27">
        <v>34.200000000000003</v>
      </c>
      <c r="D27" s="3"/>
    </row>
    <row r="28" spans="1:4" x14ac:dyDescent="0.3">
      <c r="A28" t="s">
        <v>27</v>
      </c>
      <c r="B28">
        <v>49.8</v>
      </c>
      <c r="D28" s="3"/>
    </row>
    <row r="29" spans="1:4" x14ac:dyDescent="0.3">
      <c r="A29" t="s">
        <v>28</v>
      </c>
      <c r="B29">
        <v>39.4</v>
      </c>
      <c r="D29" s="3"/>
    </row>
    <row r="30" spans="1:4" x14ac:dyDescent="0.3">
      <c r="A30" t="s">
        <v>29</v>
      </c>
      <c r="B30">
        <v>48.9</v>
      </c>
      <c r="D30" s="3"/>
    </row>
    <row r="31" spans="1:4" x14ac:dyDescent="0.3">
      <c r="A31" t="s">
        <v>30</v>
      </c>
      <c r="B31">
        <v>23</v>
      </c>
      <c r="D31" s="3"/>
    </row>
    <row r="32" spans="1:4" x14ac:dyDescent="0.3">
      <c r="A32" t="s">
        <v>31</v>
      </c>
      <c r="B32">
        <v>39.9</v>
      </c>
      <c r="D32" s="3"/>
    </row>
    <row r="33" spans="1:4" x14ac:dyDescent="0.3">
      <c r="A33" t="s">
        <v>32</v>
      </c>
      <c r="B33">
        <v>29.2</v>
      </c>
      <c r="D33" s="3"/>
    </row>
    <row r="34" spans="1:4" x14ac:dyDescent="0.3">
      <c r="A34" t="s">
        <v>33</v>
      </c>
      <c r="B34">
        <v>37.799999999999997</v>
      </c>
      <c r="D34" s="3"/>
    </row>
    <row r="35" spans="1:4" x14ac:dyDescent="0.3">
      <c r="D35" s="3"/>
    </row>
    <row r="36" spans="1:4" x14ac:dyDescent="0.3">
      <c r="A36" t="s">
        <v>35</v>
      </c>
      <c r="B36">
        <v>34.200000000000003</v>
      </c>
      <c r="D36" s="3"/>
    </row>
    <row r="37" spans="1:4" x14ac:dyDescent="0.3">
      <c r="D37" s="3"/>
    </row>
    <row r="38" spans="1:4" x14ac:dyDescent="0.3">
      <c r="D38" s="3"/>
    </row>
    <row r="39" spans="1:4" x14ac:dyDescent="0.3">
      <c r="D3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AAA7-7C26-4F99-ABB2-4FAE4EB8CFE5}">
  <dimension ref="A1:C40"/>
  <sheetViews>
    <sheetView workbookViewId="0">
      <selection activeCell="C2" sqref="C2"/>
    </sheetView>
  </sheetViews>
  <sheetFormatPr defaultRowHeight="14.4" x14ac:dyDescent="0.3"/>
  <cols>
    <col min="1" max="1" width="27.33203125" bestFit="1" customWidth="1"/>
    <col min="2" max="2" width="10" bestFit="1" customWidth="1"/>
  </cols>
  <sheetData>
    <row r="1" spans="1:3" s="3" customFormat="1" x14ac:dyDescent="0.3">
      <c r="A1" s="3" t="s">
        <v>0</v>
      </c>
      <c r="B1" s="3" t="s">
        <v>45</v>
      </c>
    </row>
    <row r="2" spans="1:3" x14ac:dyDescent="0.3">
      <c r="A2" s="3" t="s">
        <v>1</v>
      </c>
      <c r="B2" s="3">
        <v>9.64</v>
      </c>
    </row>
    <row r="3" spans="1:3" x14ac:dyDescent="0.3">
      <c r="A3" s="3" t="s">
        <v>2</v>
      </c>
      <c r="B3" s="3">
        <v>9.93</v>
      </c>
      <c r="C3" s="3"/>
    </row>
    <row r="4" spans="1:3" x14ac:dyDescent="0.3">
      <c r="A4" s="3" t="s">
        <v>3</v>
      </c>
      <c r="B4" s="3">
        <v>9.44</v>
      </c>
      <c r="C4" s="3"/>
    </row>
    <row r="5" spans="1:3" x14ac:dyDescent="0.3">
      <c r="A5" s="3" t="s">
        <v>4</v>
      </c>
      <c r="B5" s="3">
        <v>9.43</v>
      </c>
      <c r="C5" s="3"/>
    </row>
    <row r="6" spans="1:3" x14ac:dyDescent="0.3">
      <c r="A6" s="3" t="s">
        <v>5</v>
      </c>
      <c r="B6" s="3">
        <v>8.9</v>
      </c>
      <c r="C6" s="3"/>
    </row>
    <row r="7" spans="1:3" x14ac:dyDescent="0.3">
      <c r="A7" s="3" t="s">
        <v>6</v>
      </c>
      <c r="B7" s="3">
        <v>8.57</v>
      </c>
      <c r="C7" s="3"/>
    </row>
    <row r="8" spans="1:3" x14ac:dyDescent="0.3">
      <c r="A8" s="3" t="s">
        <v>7</v>
      </c>
      <c r="B8" s="3">
        <v>9.0399999999999991</v>
      </c>
      <c r="C8" s="3"/>
    </row>
    <row r="9" spans="1:3" x14ac:dyDescent="0.3">
      <c r="A9" s="3" t="s">
        <v>8</v>
      </c>
      <c r="B9" s="3">
        <v>8.36</v>
      </c>
      <c r="C9" s="3"/>
    </row>
    <row r="10" spans="1:3" x14ac:dyDescent="0.3">
      <c r="A10" s="3" t="s">
        <v>9</v>
      </c>
      <c r="B10" s="3">
        <v>8.33</v>
      </c>
      <c r="C10" s="3"/>
    </row>
    <row r="11" spans="1:3" x14ac:dyDescent="0.3">
      <c r="A11" s="3" t="s">
        <v>10</v>
      </c>
      <c r="B11" s="3">
        <v>10.5</v>
      </c>
      <c r="C11" s="3"/>
    </row>
    <row r="12" spans="1:3" x14ac:dyDescent="0.3">
      <c r="A12" s="3" t="s">
        <v>11</v>
      </c>
      <c r="B12" s="3">
        <v>11.49</v>
      </c>
      <c r="C12" s="3"/>
    </row>
    <row r="13" spans="1:3" x14ac:dyDescent="0.3">
      <c r="A13" s="3" t="s">
        <v>12</v>
      </c>
      <c r="B13" s="3">
        <v>8.8699999999999992</v>
      </c>
      <c r="C13" s="3"/>
    </row>
    <row r="14" spans="1:3" x14ac:dyDescent="0.3">
      <c r="A14" s="3" t="s">
        <v>13</v>
      </c>
      <c r="B14" s="3">
        <v>8.02</v>
      </c>
      <c r="C14" s="3"/>
    </row>
    <row r="15" spans="1:3" x14ac:dyDescent="0.3">
      <c r="A15" s="3" t="s">
        <v>14</v>
      </c>
      <c r="B15" s="3">
        <v>9.92</v>
      </c>
      <c r="C15" s="3"/>
    </row>
    <row r="16" spans="1:3" x14ac:dyDescent="0.3">
      <c r="A16" s="3" t="s">
        <v>15</v>
      </c>
      <c r="B16" s="3">
        <v>8.2799999999999994</v>
      </c>
      <c r="C16" s="3"/>
    </row>
    <row r="17" spans="1:3" x14ac:dyDescent="0.3">
      <c r="A17" s="3" t="s">
        <v>16</v>
      </c>
      <c r="B17" s="3">
        <v>9.23</v>
      </c>
      <c r="C17" s="3"/>
    </row>
    <row r="18" spans="1:3" x14ac:dyDescent="0.3">
      <c r="A18" s="3" t="s">
        <v>17</v>
      </c>
      <c r="B18" s="3">
        <v>9.5399999999999991</v>
      </c>
      <c r="C18" s="3"/>
    </row>
    <row r="19" spans="1:3" x14ac:dyDescent="0.3">
      <c r="A19" s="3" t="s">
        <v>18</v>
      </c>
      <c r="B19" s="3">
        <v>7.87</v>
      </c>
      <c r="C19" s="3"/>
    </row>
    <row r="20" spans="1:3" x14ac:dyDescent="0.3">
      <c r="A20" s="3" t="s">
        <v>19</v>
      </c>
      <c r="B20" s="3">
        <v>8.02</v>
      </c>
      <c r="C20" s="3"/>
    </row>
    <row r="21" spans="1:3" x14ac:dyDescent="0.3">
      <c r="A21" s="3" t="s">
        <v>20</v>
      </c>
      <c r="B21" s="3">
        <v>7.78</v>
      </c>
      <c r="C21" s="3"/>
    </row>
    <row r="22" spans="1:3" x14ac:dyDescent="0.3">
      <c r="A22" s="3" t="s">
        <v>21</v>
      </c>
      <c r="B22" s="3">
        <v>8.81</v>
      </c>
      <c r="C22" s="3"/>
    </row>
    <row r="23" spans="1:3" x14ac:dyDescent="0.3">
      <c r="A23" s="3" t="s">
        <v>22</v>
      </c>
      <c r="B23" s="3">
        <v>8.6199999999999992</v>
      </c>
      <c r="C23" s="3"/>
    </row>
    <row r="24" spans="1:3" x14ac:dyDescent="0.3">
      <c r="A24" s="3" t="s">
        <v>23</v>
      </c>
      <c r="B24" s="3">
        <v>10.02</v>
      </c>
      <c r="C24" s="3"/>
    </row>
    <row r="25" spans="1:3" x14ac:dyDescent="0.3">
      <c r="A25" s="3" t="s">
        <v>24</v>
      </c>
      <c r="B25" s="3">
        <v>9.35</v>
      </c>
      <c r="C25" s="3"/>
    </row>
    <row r="26" spans="1:3" x14ac:dyDescent="0.3">
      <c r="A26" s="3" t="s">
        <v>25</v>
      </c>
      <c r="B26" s="3">
        <v>9.84</v>
      </c>
      <c r="C26" s="3"/>
    </row>
    <row r="27" spans="1:3" x14ac:dyDescent="0.3">
      <c r="A27" s="3" t="s">
        <v>26</v>
      </c>
      <c r="B27" s="3">
        <v>9.0399999999999991</v>
      </c>
      <c r="C27" s="3"/>
    </row>
    <row r="28" spans="1:3" x14ac:dyDescent="0.3">
      <c r="A28" s="3" t="s">
        <v>27</v>
      </c>
      <c r="B28" s="3">
        <v>8.86</v>
      </c>
      <c r="C28" s="3"/>
    </row>
    <row r="29" spans="1:3" x14ac:dyDescent="0.3">
      <c r="A29" s="3" t="s">
        <v>28</v>
      </c>
      <c r="B29" s="3">
        <v>9.42</v>
      </c>
      <c r="C29" s="3"/>
    </row>
    <row r="30" spans="1:3" x14ac:dyDescent="0.3">
      <c r="A30" s="3" t="s">
        <v>29</v>
      </c>
      <c r="B30" s="3">
        <v>8.2899999999999991</v>
      </c>
      <c r="C30" s="3"/>
    </row>
    <row r="31" spans="1:3" x14ac:dyDescent="0.3">
      <c r="A31" s="3" t="s">
        <v>30</v>
      </c>
      <c r="B31" s="3">
        <v>8.15</v>
      </c>
      <c r="C31" s="3"/>
    </row>
    <row r="32" spans="1:3" x14ac:dyDescent="0.3">
      <c r="A32" s="3" t="s">
        <v>31</v>
      </c>
      <c r="B32" s="3">
        <v>10.26</v>
      </c>
      <c r="C32" s="3"/>
    </row>
    <row r="33" spans="1:3" x14ac:dyDescent="0.3">
      <c r="A33" s="3" t="s">
        <v>32</v>
      </c>
      <c r="B33" s="3">
        <v>9.3699999999999992</v>
      </c>
      <c r="C33" s="3"/>
    </row>
    <row r="34" spans="1:3" x14ac:dyDescent="0.3">
      <c r="A34" s="3" t="s">
        <v>33</v>
      </c>
      <c r="B34" s="3">
        <v>7.86</v>
      </c>
      <c r="C34" s="3"/>
    </row>
    <row r="35" spans="1:3" x14ac:dyDescent="0.3">
      <c r="A35" s="3" t="s">
        <v>34</v>
      </c>
      <c r="B35" s="3">
        <v>8.39</v>
      </c>
      <c r="C35" s="3"/>
    </row>
    <row r="36" spans="1:3" x14ac:dyDescent="0.3">
      <c r="A36" s="3" t="s">
        <v>35</v>
      </c>
      <c r="B36" s="3">
        <v>9.82</v>
      </c>
      <c r="C36" s="3"/>
    </row>
    <row r="37" spans="1:3" x14ac:dyDescent="0.3">
      <c r="A37" s="3" t="s">
        <v>36</v>
      </c>
      <c r="B37" s="3">
        <v>8.3800000000000008</v>
      </c>
      <c r="C37" s="3"/>
    </row>
    <row r="38" spans="1:3" x14ac:dyDescent="0.3">
      <c r="A38" s="3" t="s">
        <v>37</v>
      </c>
      <c r="B38" s="3">
        <v>6.12</v>
      </c>
      <c r="C38" s="3"/>
    </row>
    <row r="39" spans="1:3" x14ac:dyDescent="0.3">
      <c r="A39" s="3" t="s">
        <v>38</v>
      </c>
      <c r="B39" s="3">
        <v>4.21</v>
      </c>
      <c r="C39" s="3"/>
    </row>
    <row r="40" spans="1:3" x14ac:dyDescent="0.3">
      <c r="C4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E8DE-B7C3-4168-919E-C7836C15DE23}">
  <dimension ref="A1:B40"/>
  <sheetViews>
    <sheetView topLeftCell="A8" workbookViewId="0">
      <selection activeCell="A12" sqref="A12"/>
    </sheetView>
  </sheetViews>
  <sheetFormatPr defaultRowHeight="14.4" x14ac:dyDescent="0.3"/>
  <cols>
    <col min="1" max="1" width="22.77734375" bestFit="1" customWidth="1"/>
    <col min="2" max="2" width="18.5546875" bestFit="1" customWidth="1"/>
  </cols>
  <sheetData>
    <row r="1" spans="1:2" x14ac:dyDescent="0.3">
      <c r="A1" t="s">
        <v>0</v>
      </c>
      <c r="B1" t="s">
        <v>46</v>
      </c>
    </row>
    <row r="2" spans="1:2" x14ac:dyDescent="0.3">
      <c r="A2" s="3" t="s">
        <v>1</v>
      </c>
      <c r="B2" s="3">
        <v>98</v>
      </c>
    </row>
    <row r="3" spans="1:2" x14ac:dyDescent="0.3">
      <c r="A3" s="3" t="s">
        <v>2</v>
      </c>
      <c r="B3" s="3">
        <v>215</v>
      </c>
    </row>
    <row r="4" spans="1:2" x14ac:dyDescent="0.3">
      <c r="A4" s="3" t="s">
        <v>3</v>
      </c>
      <c r="B4" s="3">
        <v>139</v>
      </c>
    </row>
    <row r="5" spans="1:2" x14ac:dyDescent="0.3">
      <c r="A5" s="3" t="s">
        <v>4</v>
      </c>
      <c r="B5" s="3">
        <v>75</v>
      </c>
    </row>
    <row r="6" spans="1:2" x14ac:dyDescent="0.3">
      <c r="A6" s="3" t="s">
        <v>5</v>
      </c>
      <c r="B6" s="3">
        <v>76</v>
      </c>
    </row>
    <row r="7" spans="1:2" x14ac:dyDescent="0.3">
      <c r="A7" s="3" t="s">
        <v>6</v>
      </c>
      <c r="B7" s="3">
        <v>102</v>
      </c>
    </row>
    <row r="8" spans="1:2" x14ac:dyDescent="0.3">
      <c r="A8" s="3" t="s">
        <v>7</v>
      </c>
      <c r="B8" s="3">
        <v>105</v>
      </c>
    </row>
    <row r="9" spans="1:2" x14ac:dyDescent="0.3">
      <c r="A9" s="3" t="s">
        <v>8</v>
      </c>
      <c r="B9" s="3">
        <v>281</v>
      </c>
    </row>
    <row r="10" spans="1:2" x14ac:dyDescent="0.3">
      <c r="A10" s="3" t="s">
        <v>9</v>
      </c>
      <c r="B10" s="3">
        <v>92</v>
      </c>
    </row>
    <row r="11" spans="1:2" x14ac:dyDescent="0.3">
      <c r="A11" s="3" t="s">
        <v>10</v>
      </c>
      <c r="B11" s="3">
        <v>264</v>
      </c>
    </row>
    <row r="12" spans="1:2" x14ac:dyDescent="0.3">
      <c r="A12" s="3" t="s">
        <v>41</v>
      </c>
      <c r="B12" s="3">
        <v>16165</v>
      </c>
    </row>
    <row r="13" spans="1:2" x14ac:dyDescent="0.3">
      <c r="A13" s="3" t="s">
        <v>12</v>
      </c>
      <c r="B13" s="3">
        <v>1359</v>
      </c>
    </row>
    <row r="14" spans="1:2" x14ac:dyDescent="0.3">
      <c r="A14" s="3" t="s">
        <v>13</v>
      </c>
      <c r="B14" s="3">
        <v>1104</v>
      </c>
    </row>
    <row r="15" spans="1:2" x14ac:dyDescent="0.3">
      <c r="A15" s="3" t="s">
        <v>42</v>
      </c>
      <c r="B15" s="3">
        <v>1186</v>
      </c>
    </row>
    <row r="16" spans="1:2" x14ac:dyDescent="0.3">
      <c r="A16" s="3" t="s">
        <v>15</v>
      </c>
      <c r="B16" s="3">
        <v>870</v>
      </c>
    </row>
    <row r="17" spans="1:2" x14ac:dyDescent="0.3">
      <c r="A17" s="3" t="s">
        <v>16</v>
      </c>
      <c r="B17" s="3">
        <v>1329</v>
      </c>
    </row>
    <row r="18" spans="1:2" x14ac:dyDescent="0.3">
      <c r="A18" s="3" t="s">
        <v>17</v>
      </c>
      <c r="B18" s="3">
        <v>793</v>
      </c>
    </row>
    <row r="19" spans="1:2" x14ac:dyDescent="0.3">
      <c r="A19" s="3" t="s">
        <v>18</v>
      </c>
      <c r="B19" s="3">
        <v>287</v>
      </c>
    </row>
    <row r="20" spans="1:2" x14ac:dyDescent="0.3">
      <c r="A20" s="3" t="s">
        <v>19</v>
      </c>
      <c r="B20" s="3">
        <v>122</v>
      </c>
    </row>
    <row r="21" spans="1:2" x14ac:dyDescent="0.3">
      <c r="A21" s="3" t="s">
        <v>20</v>
      </c>
      <c r="B21" s="3">
        <v>39</v>
      </c>
    </row>
    <row r="22" spans="1:2" x14ac:dyDescent="0.3">
      <c r="A22" s="3" t="s">
        <v>21</v>
      </c>
      <c r="B22" s="3">
        <v>18</v>
      </c>
    </row>
    <row r="23" spans="1:2" x14ac:dyDescent="0.3">
      <c r="A23" s="3" t="s">
        <v>22</v>
      </c>
      <c r="B23" s="3">
        <v>115</v>
      </c>
    </row>
    <row r="24" spans="1:2" x14ac:dyDescent="0.3">
      <c r="A24" s="3" t="s">
        <v>23</v>
      </c>
      <c r="B24" s="3">
        <v>32</v>
      </c>
    </row>
    <row r="25" spans="1:2" x14ac:dyDescent="0.3">
      <c r="A25" s="3" t="s">
        <v>24</v>
      </c>
      <c r="B25" s="3">
        <v>11</v>
      </c>
    </row>
    <row r="26" spans="1:2" x14ac:dyDescent="0.3">
      <c r="A26" s="3" t="s">
        <v>25</v>
      </c>
      <c r="B26" s="3">
        <v>186</v>
      </c>
    </row>
    <row r="27" spans="1:2" x14ac:dyDescent="0.3">
      <c r="A27" s="3" t="s">
        <v>26</v>
      </c>
      <c r="B27" s="3">
        <v>51</v>
      </c>
    </row>
    <row r="28" spans="1:2" x14ac:dyDescent="0.3">
      <c r="A28" s="3" t="s">
        <v>27</v>
      </c>
      <c r="B28" s="3">
        <v>209</v>
      </c>
    </row>
    <row r="29" spans="1:2" x14ac:dyDescent="0.3">
      <c r="A29" s="3" t="s">
        <v>28</v>
      </c>
      <c r="B29" s="3">
        <v>77</v>
      </c>
    </row>
    <row r="30" spans="1:2" x14ac:dyDescent="0.3">
      <c r="A30" s="3" t="s">
        <v>29</v>
      </c>
      <c r="B30" s="3">
        <v>102</v>
      </c>
    </row>
    <row r="31" spans="1:2" x14ac:dyDescent="0.3">
      <c r="A31" s="3" t="s">
        <v>30</v>
      </c>
      <c r="B31" s="3">
        <v>91</v>
      </c>
    </row>
    <row r="32" spans="1:2" x14ac:dyDescent="0.3">
      <c r="A32" s="3" t="s">
        <v>31</v>
      </c>
      <c r="B32" s="3">
        <v>42</v>
      </c>
    </row>
    <row r="33" spans="1:2" x14ac:dyDescent="0.3">
      <c r="A33" s="3" t="s">
        <v>32</v>
      </c>
      <c r="B33" s="3">
        <v>41</v>
      </c>
    </row>
    <row r="34" spans="1:2" x14ac:dyDescent="0.3">
      <c r="A34" s="3" t="s">
        <v>33</v>
      </c>
      <c r="B34" s="3">
        <v>10</v>
      </c>
    </row>
    <row r="35" spans="1:2" x14ac:dyDescent="0.3">
      <c r="A35" s="3" t="s">
        <v>34</v>
      </c>
      <c r="B35" s="3">
        <v>16</v>
      </c>
    </row>
    <row r="36" spans="1:2" x14ac:dyDescent="0.3">
      <c r="A36" s="3" t="s">
        <v>35</v>
      </c>
      <c r="B36" s="3">
        <v>13</v>
      </c>
    </row>
    <row r="37" spans="1:2" x14ac:dyDescent="0.3">
      <c r="A37" s="3" t="s">
        <v>36</v>
      </c>
      <c r="B37" s="3">
        <v>5</v>
      </c>
    </row>
    <row r="38" spans="1:2" x14ac:dyDescent="0.3">
      <c r="A38" s="3" t="s">
        <v>37</v>
      </c>
      <c r="B38" s="3">
        <v>24</v>
      </c>
    </row>
    <row r="39" spans="1:2" x14ac:dyDescent="0.3">
      <c r="A39" s="3" t="s">
        <v>38</v>
      </c>
      <c r="B39" s="3">
        <v>29</v>
      </c>
    </row>
    <row r="40" spans="1:2" x14ac:dyDescent="0.3">
      <c r="B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Final</vt:lpstr>
      <vt:lpstr>Persentase Internet</vt:lpstr>
      <vt:lpstr>PDRB</vt:lpstr>
      <vt:lpstr>Persentase Penduduk Miskin</vt:lpstr>
      <vt:lpstr>Persentase Penduduk Perkotaan</vt:lpstr>
      <vt:lpstr>RLS</vt:lpstr>
      <vt:lpstr>Kepadatan 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Aisyah Fatiyya</dc:creator>
  <cp:lastModifiedBy>Aisyah Fatiyya</cp:lastModifiedBy>
  <dcterms:created xsi:type="dcterms:W3CDTF">2026-02-09T11:10:05Z</dcterms:created>
  <dcterms:modified xsi:type="dcterms:W3CDTF">2026-02-09T11:52:21Z</dcterms:modified>
</cp:coreProperties>
</file>